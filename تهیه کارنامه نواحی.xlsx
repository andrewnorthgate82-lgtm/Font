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پایگاه داده حد انتظار" sheetId="1" r:id="rId5"/>
    <sheet state="visible" name="گزارش عملکرد ماهانه" sheetId="2" r:id="rId6"/>
    <sheet state="visible" name="کارنامه هوشمند" sheetId="3" r:id="rId7"/>
  </sheets>
  <definedNames/>
  <calcPr/>
</workbook>
</file>

<file path=xl/sharedStrings.xml><?xml version="1.0" encoding="utf-8"?>
<sst xmlns="http://schemas.openxmlformats.org/spreadsheetml/2006/main" count="90" uniqueCount="46">
  <si>
    <t>نام ناحیه (شهرستان)</t>
  </si>
  <si>
    <t>تعداد حوزه</t>
  </si>
  <si>
    <t>حضوری و توانمندسازی (۳۱×)</t>
  </si>
  <si>
    <t>مجازی/لایو (۲۱۷×)</t>
  </si>
  <si>
    <t>اقدامات خلاقانه (۶۲×)</t>
  </si>
  <si>
    <t>تولیدات رسانه‌ای (۳×)</t>
  </si>
  <si>
    <t>نشست انجمن</t>
  </si>
  <si>
    <t>اعضای انجمن</t>
  </si>
  <si>
    <t>آران و بیدگل</t>
  </si>
  <si>
    <t>امام حسین(ع)</t>
  </si>
  <si>
    <t>امام رضا(ع)</t>
  </si>
  <si>
    <t>امام صادق(ع)</t>
  </si>
  <si>
    <t>امام علی(ع)</t>
  </si>
  <si>
    <t>اردستان</t>
  </si>
  <si>
    <t>برخوار</t>
  </si>
  <si>
    <t>بویین و میاندشت</t>
  </si>
  <si>
    <t>تیران و کرون</t>
  </si>
  <si>
    <t>جرقویه</t>
  </si>
  <si>
    <t>چادگان</t>
  </si>
  <si>
    <t>خمینی شهر</t>
  </si>
  <si>
    <t>خوانسار</t>
  </si>
  <si>
    <t>خور و بیابانک</t>
  </si>
  <si>
    <t>درچه</t>
  </si>
  <si>
    <t>دهاقان</t>
  </si>
  <si>
    <t>سمیرم</t>
  </si>
  <si>
    <t>شاهین شهر</t>
  </si>
  <si>
    <t>شهرضا</t>
  </si>
  <si>
    <t>فریدن</t>
  </si>
  <si>
    <t>فریدون شهر</t>
  </si>
  <si>
    <t>فلاورجان</t>
  </si>
  <si>
    <t>کاشان</t>
  </si>
  <si>
    <t>کوهپایه</t>
  </si>
  <si>
    <t>گلپایگان</t>
  </si>
  <si>
    <t>لنجان</t>
  </si>
  <si>
    <t>مبارکه</t>
  </si>
  <si>
    <t>نایین</t>
  </si>
  <si>
    <t>نجف آباد</t>
  </si>
  <si>
    <t>نطنز</t>
  </si>
  <si>
    <t>ورزنه</t>
  </si>
  <si>
    <t>هرند</t>
  </si>
  <si>
    <t>انتخاب شهرستان:</t>
  </si>
  <si>
    <t>بخش</t>
  </si>
  <si>
    <t>حد انتظار</t>
  </si>
  <si>
    <t>عملکرد واقعی</t>
  </si>
  <si>
    <t>درصد تحقق</t>
  </si>
  <si>
    <t>نمره کل عملکرد: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</si>
</sst>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3">
    <font>
      <sz val="10.0"/>
      <color rgb="FF000000"/>
      <name val="Arial"/>
      <scheme val="minor"/>
    </font>
    <font>
      <b/>
      <sz val="11.0"/>
      <color rgb="FFFFFFFF"/>
      <name val="Montserrat"/>
    </font>
    <font>
      <sz val="10.0"/>
      <color rgb="FF181C1F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3B5F90"/>
        <bgColor rgb="FF3B5F90"/>
      </patternFill>
    </fill>
  </fills>
  <borders count="2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پایگاه داده حد انتظار-style">
      <tableStyleElement dxfId="1" type="firstRowStripe"/>
      <tableStyleElement dxfId="2" type="secondRowStripe"/>
    </tableStyle>
    <tableStyle count="2" pivot="0" name="کارنامه هوشمند-style">
      <tableStyleElement dxfId="1" type="firstRowStripe"/>
      <tableStyleElement dxfId="2" type="secondRowStripe"/>
    </tableStyle>
    <tableStyle count="2" pivot="0" name="گزارش عملکرد ماهانه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33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پایگاه داده حد انتظار-style" showColumnStripes="0" showFirstColumn="1" showLastColumn="1" showRowStripes="1"/>
</table>
</file>

<file path=xl/tables/table2.xml><?xml version="1.0" encoding="utf-8"?>
<table xmlns="http://schemas.openxmlformats.org/spreadsheetml/2006/main" headerRowCount="0" ref="A2:F33" displayName="Table_3" name="Table_3" id="3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گزارش عملکرد ماهانه-style" showColumnStripes="0" showFirstColumn="1" showLastColumn="1" showRowStripes="1"/>
</table>
</file>

<file path=xl/tables/table3.xml><?xml version="1.0" encoding="utf-8"?>
<table xmlns="http://schemas.openxmlformats.org/spreadsheetml/2006/main" headerRowCount="0" ref="B5:E9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کارنامه هوشمند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4">
        <v>10.0</v>
      </c>
      <c r="C2" s="4">
        <v>310.0</v>
      </c>
      <c r="D2" s="4">
        <v>2170.0</v>
      </c>
      <c r="E2" s="4">
        <v>620.0</v>
      </c>
      <c r="F2" s="4">
        <v>30.0</v>
      </c>
      <c r="G2" s="4">
        <v>1.0</v>
      </c>
      <c r="H2" s="4">
        <v>22.0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9</v>
      </c>
      <c r="B3" s="4">
        <v>5.0</v>
      </c>
      <c r="C3" s="4">
        <v>155.0</v>
      </c>
      <c r="D3" s="4">
        <v>1085.0</v>
      </c>
      <c r="E3" s="4">
        <v>310.0</v>
      </c>
      <c r="F3" s="4">
        <v>15.0</v>
      </c>
      <c r="G3" s="4">
        <v>1.0</v>
      </c>
      <c r="H3" s="4">
        <v>22.0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10</v>
      </c>
      <c r="B4" s="4">
        <v>22.0</v>
      </c>
      <c r="C4" s="4">
        <v>682.0</v>
      </c>
      <c r="D4" s="4">
        <v>4774.0</v>
      </c>
      <c r="E4" s="4">
        <v>1364.0</v>
      </c>
      <c r="F4" s="4">
        <v>66.0</v>
      </c>
      <c r="G4" s="4">
        <v>1.0</v>
      </c>
      <c r="H4" s="4">
        <v>22.0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4">
        <v>22.0</v>
      </c>
      <c r="C5" s="4">
        <v>682.0</v>
      </c>
      <c r="D5" s="4">
        <v>4774.0</v>
      </c>
      <c r="E5" s="4">
        <v>1364.0</v>
      </c>
      <c r="F5" s="4">
        <v>66.0</v>
      </c>
      <c r="G5" s="4">
        <v>1.0</v>
      </c>
      <c r="H5" s="4">
        <v>22.0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4">
        <v>6.0</v>
      </c>
      <c r="C6" s="4">
        <v>186.0</v>
      </c>
      <c r="D6" s="4">
        <v>1302.0</v>
      </c>
      <c r="E6" s="4">
        <v>372.0</v>
      </c>
      <c r="F6" s="4">
        <v>18.0</v>
      </c>
      <c r="G6" s="4">
        <v>1.0</v>
      </c>
      <c r="H6" s="4">
        <v>22.0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13</v>
      </c>
      <c r="B7" s="4">
        <v>6.0</v>
      </c>
      <c r="C7" s="4">
        <v>186.0</v>
      </c>
      <c r="D7" s="4">
        <v>1302.0</v>
      </c>
      <c r="E7" s="4">
        <v>372.0</v>
      </c>
      <c r="F7" s="4">
        <v>18.0</v>
      </c>
      <c r="G7" s="4">
        <v>1.0</v>
      </c>
      <c r="H7" s="4">
        <v>22.0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14</v>
      </c>
      <c r="B8" s="4">
        <v>5.0</v>
      </c>
      <c r="C8" s="4">
        <v>155.0</v>
      </c>
      <c r="D8" s="4">
        <v>1085.0</v>
      </c>
      <c r="E8" s="4">
        <v>310.0</v>
      </c>
      <c r="F8" s="4">
        <v>15.0</v>
      </c>
      <c r="G8" s="4">
        <v>1.0</v>
      </c>
      <c r="H8" s="4">
        <v>22.0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15</v>
      </c>
      <c r="B9" s="4">
        <v>3.0</v>
      </c>
      <c r="C9" s="4">
        <v>93.0</v>
      </c>
      <c r="D9" s="4">
        <v>651.0</v>
      </c>
      <c r="E9" s="4">
        <v>186.0</v>
      </c>
      <c r="F9" s="4">
        <v>9.0</v>
      </c>
      <c r="G9" s="4">
        <v>1.0</v>
      </c>
      <c r="H9" s="4">
        <v>22.0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16</v>
      </c>
      <c r="B10" s="4">
        <v>6.0</v>
      </c>
      <c r="C10" s="4">
        <v>186.0</v>
      </c>
      <c r="D10" s="4">
        <v>1302.0</v>
      </c>
      <c r="E10" s="4">
        <v>372.0</v>
      </c>
      <c r="F10" s="4">
        <v>18.0</v>
      </c>
      <c r="G10" s="4">
        <v>1.0</v>
      </c>
      <c r="H10" s="4">
        <v>22.0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17</v>
      </c>
      <c r="B11" s="4">
        <v>4.0</v>
      </c>
      <c r="C11" s="4">
        <v>124.0</v>
      </c>
      <c r="D11" s="4">
        <v>868.0</v>
      </c>
      <c r="E11" s="4">
        <v>248.0</v>
      </c>
      <c r="F11" s="4">
        <v>12.0</v>
      </c>
      <c r="G11" s="4">
        <v>1.0</v>
      </c>
      <c r="H11" s="4">
        <v>22.0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18</v>
      </c>
      <c r="B12" s="4">
        <v>5.0</v>
      </c>
      <c r="C12" s="4">
        <v>155.0</v>
      </c>
      <c r="D12" s="4">
        <v>1085.0</v>
      </c>
      <c r="E12" s="4">
        <v>310.0</v>
      </c>
      <c r="F12" s="4">
        <v>15.0</v>
      </c>
      <c r="G12" s="4">
        <v>1.0</v>
      </c>
      <c r="H12" s="4">
        <v>22.0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19</v>
      </c>
      <c r="B13" s="4">
        <v>9.0</v>
      </c>
      <c r="C13" s="4">
        <v>279.0</v>
      </c>
      <c r="D13" s="4">
        <v>1953.0</v>
      </c>
      <c r="E13" s="4">
        <v>558.0</v>
      </c>
      <c r="F13" s="4">
        <v>27.0</v>
      </c>
      <c r="G13" s="4">
        <v>1.0</v>
      </c>
      <c r="H13" s="4">
        <v>22.0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" t="s">
        <v>20</v>
      </c>
      <c r="B14" s="4">
        <v>3.0</v>
      </c>
      <c r="C14" s="4">
        <v>93.0</v>
      </c>
      <c r="D14" s="4">
        <v>651.0</v>
      </c>
      <c r="E14" s="4">
        <v>186.0</v>
      </c>
      <c r="F14" s="4">
        <v>9.0</v>
      </c>
      <c r="G14" s="4">
        <v>1.0</v>
      </c>
      <c r="H14" s="4">
        <v>22.0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" t="s">
        <v>21</v>
      </c>
      <c r="B15" s="4">
        <v>2.0</v>
      </c>
      <c r="C15" s="4">
        <v>62.0</v>
      </c>
      <c r="D15" s="4">
        <v>434.0</v>
      </c>
      <c r="E15" s="4">
        <v>124.0</v>
      </c>
      <c r="F15" s="4">
        <v>6.0</v>
      </c>
      <c r="G15" s="4">
        <v>1.0</v>
      </c>
      <c r="H15" s="4">
        <v>22.0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3" t="s">
        <v>22</v>
      </c>
      <c r="B16" s="4">
        <v>4.0</v>
      </c>
      <c r="C16" s="4">
        <v>124.0</v>
      </c>
      <c r="D16" s="4">
        <v>868.0</v>
      </c>
      <c r="E16" s="4">
        <v>248.0</v>
      </c>
      <c r="F16" s="4">
        <v>12.0</v>
      </c>
      <c r="G16" s="4">
        <v>1.0</v>
      </c>
      <c r="H16" s="4">
        <v>22.0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3" t="s">
        <v>23</v>
      </c>
      <c r="B17" s="4">
        <v>3.0</v>
      </c>
      <c r="C17" s="4">
        <v>93.0</v>
      </c>
      <c r="D17" s="4">
        <v>651.0</v>
      </c>
      <c r="E17" s="4">
        <v>186.0</v>
      </c>
      <c r="F17" s="4">
        <v>9.0</v>
      </c>
      <c r="G17" s="4">
        <v>1.0</v>
      </c>
      <c r="H17" s="4">
        <v>22.0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3" t="s">
        <v>24</v>
      </c>
      <c r="B18" s="4">
        <v>7.0</v>
      </c>
      <c r="C18" s="4">
        <v>217.0</v>
      </c>
      <c r="D18" s="4">
        <v>1519.0</v>
      </c>
      <c r="E18" s="4">
        <v>434.0</v>
      </c>
      <c r="F18" s="4">
        <v>21.0</v>
      </c>
      <c r="G18" s="4">
        <v>1.0</v>
      </c>
      <c r="H18" s="4">
        <v>22.0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3" t="s">
        <v>25</v>
      </c>
      <c r="B19" s="4">
        <v>9.0</v>
      </c>
      <c r="C19" s="4">
        <v>279.0</v>
      </c>
      <c r="D19" s="4">
        <v>1953.0</v>
      </c>
      <c r="E19" s="4">
        <v>558.0</v>
      </c>
      <c r="F19" s="4">
        <v>27.0</v>
      </c>
      <c r="G19" s="4">
        <v>1.0</v>
      </c>
      <c r="H19" s="4">
        <v>22.0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3" t="s">
        <v>26</v>
      </c>
      <c r="B20" s="4">
        <v>8.0</v>
      </c>
      <c r="C20" s="4">
        <v>248.0</v>
      </c>
      <c r="D20" s="4">
        <v>1736.0</v>
      </c>
      <c r="E20" s="4">
        <v>496.0</v>
      </c>
      <c r="F20" s="4">
        <v>24.0</v>
      </c>
      <c r="G20" s="4">
        <v>1.0</v>
      </c>
      <c r="H20" s="4">
        <v>22.0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3" t="s">
        <v>27</v>
      </c>
      <c r="B21" s="4">
        <v>4.0</v>
      </c>
      <c r="C21" s="4">
        <v>124.0</v>
      </c>
      <c r="D21" s="4">
        <v>868.0</v>
      </c>
      <c r="E21" s="4">
        <v>248.0</v>
      </c>
      <c r="F21" s="4">
        <v>12.0</v>
      </c>
      <c r="G21" s="4">
        <v>1.0</v>
      </c>
      <c r="H21" s="4">
        <v>22.0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3" t="s">
        <v>28</v>
      </c>
      <c r="B22" s="4">
        <v>3.0</v>
      </c>
      <c r="C22" s="4">
        <v>93.0</v>
      </c>
      <c r="D22" s="4">
        <v>651.0</v>
      </c>
      <c r="E22" s="4">
        <v>186.0</v>
      </c>
      <c r="F22" s="4">
        <v>9.0</v>
      </c>
      <c r="G22" s="4">
        <v>1.0</v>
      </c>
      <c r="H22" s="4">
        <v>22.0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3" t="s">
        <v>29</v>
      </c>
      <c r="B23" s="4">
        <v>11.0</v>
      </c>
      <c r="C23" s="4">
        <v>341.0</v>
      </c>
      <c r="D23" s="4">
        <v>2387.0</v>
      </c>
      <c r="E23" s="4">
        <v>682.0</v>
      </c>
      <c r="F23" s="4">
        <v>33.0</v>
      </c>
      <c r="G23" s="4">
        <v>1.0</v>
      </c>
      <c r="H23" s="4">
        <v>22.0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3" t="s">
        <v>30</v>
      </c>
      <c r="B24" s="4">
        <v>15.0</v>
      </c>
      <c r="C24" s="4">
        <v>465.0</v>
      </c>
      <c r="D24" s="4">
        <v>3255.0</v>
      </c>
      <c r="E24" s="4">
        <v>930.0</v>
      </c>
      <c r="F24" s="4">
        <v>45.0</v>
      </c>
      <c r="G24" s="4">
        <v>1.0</v>
      </c>
      <c r="H24" s="4">
        <v>22.0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3" t="s">
        <v>31</v>
      </c>
      <c r="B25" s="4">
        <v>4.0</v>
      </c>
      <c r="C25" s="4">
        <v>124.0</v>
      </c>
      <c r="D25" s="4">
        <v>868.0</v>
      </c>
      <c r="E25" s="4">
        <v>248.0</v>
      </c>
      <c r="F25" s="4">
        <v>12.0</v>
      </c>
      <c r="G25" s="4">
        <v>1.0</v>
      </c>
      <c r="H25" s="4">
        <v>22.0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32</v>
      </c>
      <c r="B26" s="4">
        <v>5.0</v>
      </c>
      <c r="C26" s="4">
        <v>155.0</v>
      </c>
      <c r="D26" s="4">
        <v>1085.0</v>
      </c>
      <c r="E26" s="4">
        <v>310.0</v>
      </c>
      <c r="F26" s="4">
        <v>15.0</v>
      </c>
      <c r="G26" s="4">
        <v>1.0</v>
      </c>
      <c r="H26" s="4">
        <v>22.0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3" t="s">
        <v>33</v>
      </c>
      <c r="B27" s="4">
        <v>12.0</v>
      </c>
      <c r="C27" s="4">
        <v>372.0</v>
      </c>
      <c r="D27" s="4">
        <v>2604.0</v>
      </c>
      <c r="E27" s="4">
        <v>744.0</v>
      </c>
      <c r="F27" s="4">
        <v>36.0</v>
      </c>
      <c r="G27" s="4">
        <v>1.0</v>
      </c>
      <c r="H27" s="4">
        <v>22.0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3" t="s">
        <v>34</v>
      </c>
      <c r="B28" s="4">
        <v>8.0</v>
      </c>
      <c r="C28" s="4">
        <v>248.0</v>
      </c>
      <c r="D28" s="4">
        <v>1736.0</v>
      </c>
      <c r="E28" s="4">
        <v>496.0</v>
      </c>
      <c r="F28" s="4">
        <v>24.0</v>
      </c>
      <c r="G28" s="4">
        <v>1.0</v>
      </c>
      <c r="H28" s="4">
        <v>22.0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3" t="s">
        <v>35</v>
      </c>
      <c r="B29" s="4">
        <v>4.0</v>
      </c>
      <c r="C29" s="4">
        <v>124.0</v>
      </c>
      <c r="D29" s="4">
        <v>868.0</v>
      </c>
      <c r="E29" s="4">
        <v>248.0</v>
      </c>
      <c r="F29" s="4">
        <v>12.0</v>
      </c>
      <c r="G29" s="4">
        <v>1.0</v>
      </c>
      <c r="H29" s="4">
        <v>22.0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3" t="s">
        <v>36</v>
      </c>
      <c r="B30" s="4">
        <v>14.0</v>
      </c>
      <c r="C30" s="4">
        <v>434.0</v>
      </c>
      <c r="D30" s="4">
        <v>3038.0</v>
      </c>
      <c r="E30" s="4">
        <v>868.0</v>
      </c>
      <c r="F30" s="4">
        <v>42.0</v>
      </c>
      <c r="G30" s="4">
        <v>1.0</v>
      </c>
      <c r="H30" s="4">
        <v>22.0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3" t="s">
        <v>37</v>
      </c>
      <c r="B31" s="4">
        <v>4.0</v>
      </c>
      <c r="C31" s="4">
        <v>124.0</v>
      </c>
      <c r="D31" s="4">
        <v>868.0</v>
      </c>
      <c r="E31" s="4">
        <v>248.0</v>
      </c>
      <c r="F31" s="4">
        <v>12.0</v>
      </c>
      <c r="G31" s="4">
        <v>1.0</v>
      </c>
      <c r="H31" s="4">
        <v>22.0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3" t="s">
        <v>38</v>
      </c>
      <c r="B32" s="4">
        <v>2.0</v>
      </c>
      <c r="C32" s="4">
        <v>62.0</v>
      </c>
      <c r="D32" s="4">
        <v>434.0</v>
      </c>
      <c r="E32" s="4">
        <v>124.0</v>
      </c>
      <c r="F32" s="4">
        <v>6.0</v>
      </c>
      <c r="G32" s="4">
        <v>1.0</v>
      </c>
      <c r="H32" s="4">
        <v>22.0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3" t="s">
        <v>39</v>
      </c>
      <c r="B33" s="4">
        <v>4.0</v>
      </c>
      <c r="C33" s="4">
        <v>124.0</v>
      </c>
      <c r="D33" s="4">
        <v>868.0</v>
      </c>
      <c r="E33" s="4">
        <v>248.0</v>
      </c>
      <c r="F33" s="4">
        <v>12.0</v>
      </c>
      <c r="G33" s="4">
        <v>1.0</v>
      </c>
      <c r="H33" s="4">
        <v>22.0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</row>
    <row r="2">
      <c r="A2" s="8" t="s">
        <v>8</v>
      </c>
      <c r="B2" s="9"/>
      <c r="C2" s="9"/>
      <c r="D2" s="9"/>
      <c r="E2" s="9"/>
      <c r="F2" s="9"/>
    </row>
    <row r="3">
      <c r="A3" s="8" t="s">
        <v>9</v>
      </c>
      <c r="B3" s="9"/>
      <c r="C3" s="9"/>
      <c r="D3" s="9"/>
      <c r="E3" s="9"/>
      <c r="F3" s="9"/>
    </row>
    <row r="4">
      <c r="A4" s="8" t="s">
        <v>10</v>
      </c>
      <c r="B4" s="9"/>
      <c r="C4" s="9"/>
      <c r="D4" s="9"/>
      <c r="E4" s="9"/>
      <c r="F4" s="9"/>
    </row>
    <row r="5">
      <c r="A5" s="8" t="s">
        <v>11</v>
      </c>
      <c r="B5" s="9"/>
      <c r="C5" s="9"/>
      <c r="D5" s="9"/>
      <c r="E5" s="9"/>
      <c r="F5" s="9"/>
    </row>
    <row r="6">
      <c r="A6" s="8" t="s">
        <v>12</v>
      </c>
      <c r="B6" s="9"/>
      <c r="C6" s="9"/>
      <c r="D6" s="9"/>
      <c r="E6" s="9"/>
      <c r="F6" s="9"/>
    </row>
    <row r="7">
      <c r="A7" s="8" t="s">
        <v>13</v>
      </c>
      <c r="B7" s="9"/>
      <c r="C7" s="9"/>
      <c r="D7" s="9"/>
      <c r="E7" s="9"/>
      <c r="F7" s="9"/>
    </row>
    <row r="8">
      <c r="A8" s="8" t="s">
        <v>14</v>
      </c>
      <c r="B8" s="9"/>
      <c r="C8" s="9"/>
      <c r="D8" s="9"/>
      <c r="E8" s="9"/>
      <c r="F8" s="9"/>
    </row>
    <row r="9">
      <c r="A9" s="8" t="s">
        <v>15</v>
      </c>
      <c r="B9" s="9"/>
      <c r="C9" s="9"/>
      <c r="D9" s="9"/>
      <c r="E9" s="9"/>
      <c r="F9" s="9"/>
    </row>
    <row r="10">
      <c r="A10" s="8" t="s">
        <v>16</v>
      </c>
      <c r="B10" s="9"/>
      <c r="C10" s="9"/>
      <c r="D10" s="9"/>
      <c r="E10" s="9"/>
      <c r="F10" s="9"/>
    </row>
    <row r="11">
      <c r="A11" s="8" t="s">
        <v>17</v>
      </c>
      <c r="B11" s="9"/>
      <c r="C11" s="9"/>
      <c r="D11" s="9"/>
      <c r="E11" s="9"/>
      <c r="F11" s="9"/>
    </row>
    <row r="12">
      <c r="A12" s="8" t="s">
        <v>18</v>
      </c>
      <c r="B12" s="9"/>
      <c r="C12" s="9"/>
      <c r="D12" s="9"/>
      <c r="E12" s="9"/>
      <c r="F12" s="9"/>
    </row>
    <row r="13">
      <c r="A13" s="8" t="s">
        <v>19</v>
      </c>
      <c r="B13" s="9"/>
      <c r="C13" s="9"/>
      <c r="D13" s="9"/>
      <c r="E13" s="9"/>
      <c r="F13" s="9"/>
    </row>
    <row r="14">
      <c r="A14" s="8" t="s">
        <v>20</v>
      </c>
      <c r="B14" s="9"/>
      <c r="C14" s="9"/>
      <c r="D14" s="9"/>
      <c r="E14" s="9"/>
      <c r="F14" s="9"/>
    </row>
    <row r="15">
      <c r="A15" s="8" t="s">
        <v>21</v>
      </c>
      <c r="B15" s="9"/>
      <c r="C15" s="9"/>
      <c r="D15" s="9"/>
      <c r="E15" s="9"/>
      <c r="F15" s="9"/>
    </row>
    <row r="16">
      <c r="A16" s="8" t="s">
        <v>22</v>
      </c>
      <c r="B16" s="9"/>
      <c r="C16" s="9"/>
      <c r="D16" s="9"/>
      <c r="E16" s="9"/>
      <c r="F16" s="9"/>
    </row>
    <row r="17">
      <c r="A17" s="8" t="s">
        <v>23</v>
      </c>
      <c r="B17" s="9"/>
      <c r="C17" s="9"/>
      <c r="D17" s="9"/>
      <c r="E17" s="9"/>
      <c r="F17" s="9"/>
    </row>
    <row r="18">
      <c r="A18" s="8" t="s">
        <v>24</v>
      </c>
      <c r="B18" s="9"/>
      <c r="C18" s="9"/>
      <c r="D18" s="9"/>
      <c r="E18" s="9"/>
      <c r="F18" s="9"/>
    </row>
    <row r="19">
      <c r="A19" s="8" t="s">
        <v>25</v>
      </c>
      <c r="B19" s="9"/>
      <c r="C19" s="9"/>
      <c r="D19" s="9"/>
      <c r="E19" s="9"/>
      <c r="F19" s="9"/>
    </row>
    <row r="20">
      <c r="A20" s="8" t="s">
        <v>26</v>
      </c>
      <c r="B20" s="9"/>
      <c r="C20" s="9"/>
      <c r="D20" s="9"/>
      <c r="E20" s="9"/>
      <c r="F20" s="9"/>
    </row>
    <row r="21">
      <c r="A21" s="8" t="s">
        <v>27</v>
      </c>
      <c r="B21" s="9"/>
      <c r="C21" s="9"/>
      <c r="D21" s="9"/>
      <c r="E21" s="9"/>
      <c r="F21" s="9"/>
    </row>
    <row r="22">
      <c r="A22" s="8" t="s">
        <v>28</v>
      </c>
      <c r="B22" s="9"/>
      <c r="C22" s="9"/>
      <c r="D22" s="9"/>
      <c r="E22" s="9"/>
      <c r="F22" s="9"/>
    </row>
    <row r="23">
      <c r="A23" s="8" t="s">
        <v>29</v>
      </c>
      <c r="B23" s="9"/>
      <c r="C23" s="9"/>
      <c r="D23" s="9"/>
      <c r="E23" s="9"/>
      <c r="F23" s="9"/>
    </row>
    <row r="24">
      <c r="A24" s="8" t="s">
        <v>30</v>
      </c>
      <c r="B24" s="9"/>
      <c r="C24" s="9"/>
      <c r="D24" s="9"/>
      <c r="E24" s="9"/>
      <c r="F24" s="9"/>
    </row>
    <row r="25">
      <c r="A25" s="8" t="s">
        <v>31</v>
      </c>
      <c r="B25" s="9"/>
      <c r="C25" s="9"/>
      <c r="D25" s="9"/>
      <c r="E25" s="9"/>
      <c r="F25" s="9"/>
    </row>
    <row r="26">
      <c r="A26" s="8" t="s">
        <v>32</v>
      </c>
      <c r="B26" s="9"/>
      <c r="C26" s="9"/>
      <c r="D26" s="9"/>
      <c r="E26" s="9"/>
      <c r="F26" s="9"/>
    </row>
    <row r="27">
      <c r="A27" s="8" t="s">
        <v>33</v>
      </c>
      <c r="B27" s="9"/>
      <c r="C27" s="9"/>
      <c r="D27" s="9"/>
      <c r="E27" s="9"/>
      <c r="F27" s="9"/>
    </row>
    <row r="28">
      <c r="A28" s="8" t="s">
        <v>34</v>
      </c>
      <c r="B28" s="9"/>
      <c r="C28" s="9"/>
      <c r="D28" s="9"/>
      <c r="E28" s="9"/>
      <c r="F28" s="9"/>
    </row>
    <row r="29">
      <c r="A29" s="8" t="s">
        <v>35</v>
      </c>
      <c r="B29" s="9"/>
      <c r="C29" s="9"/>
      <c r="D29" s="9"/>
      <c r="E29" s="9"/>
      <c r="F29" s="9"/>
    </row>
    <row r="30">
      <c r="A30" s="8" t="s">
        <v>36</v>
      </c>
      <c r="B30" s="9"/>
      <c r="C30" s="9"/>
      <c r="D30" s="9"/>
      <c r="E30" s="9"/>
      <c r="F30" s="9"/>
    </row>
    <row r="31">
      <c r="A31" s="8" t="s">
        <v>37</v>
      </c>
      <c r="B31" s="9"/>
      <c r="C31" s="9"/>
      <c r="D31" s="9"/>
      <c r="E31" s="9"/>
      <c r="F31" s="9"/>
    </row>
    <row r="32">
      <c r="A32" s="8" t="s">
        <v>38</v>
      </c>
      <c r="B32" s="9"/>
      <c r="C32" s="9"/>
      <c r="D32" s="9"/>
      <c r="E32" s="9"/>
      <c r="F32" s="9"/>
    </row>
    <row r="33">
      <c r="A33" s="8" t="s">
        <v>39</v>
      </c>
      <c r="B33" s="9"/>
      <c r="C33" s="9"/>
      <c r="D33" s="9"/>
      <c r="E33" s="9"/>
      <c r="F33" s="9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5" width="25.13"/>
  </cols>
  <sheetData>
    <row r="2">
      <c r="B2" s="6" t="s">
        <v>40</v>
      </c>
      <c r="C2" s="6" t="s">
        <v>8</v>
      </c>
      <c r="D2" s="5"/>
      <c r="E2" s="5"/>
    </row>
    <row r="3">
      <c r="B3" s="5"/>
      <c r="C3" s="5"/>
      <c r="D3" s="5"/>
      <c r="E3" s="5"/>
    </row>
    <row r="4">
      <c r="B4" s="7" t="s">
        <v>41</v>
      </c>
      <c r="C4" s="7" t="s">
        <v>42</v>
      </c>
      <c r="D4" s="7" t="s">
        <v>43</v>
      </c>
      <c r="E4" s="7" t="s">
        <v>44</v>
      </c>
    </row>
    <row r="5">
      <c r="B5" s="8" t="s">
        <v>2</v>
      </c>
      <c r="C5" s="9">
        <f>IFERROR(VLOOKUP($C$2, 'پایگاه داده حد انتظار'!$A$2:$H$33, 3, FALSE), 0)</f>
        <v>310</v>
      </c>
      <c r="D5" s="9" t="str">
        <f>IFERROR(VLOOKUP($C$2, 'گزارش عملکرد ماهانه'!$A$2:$F$33, 2, FALSE), 0)</f>
        <v/>
      </c>
      <c r="E5" s="10">
        <f t="shared" ref="E5:E9" si="1">IFERROR(D5/C5, 0)</f>
        <v>0</v>
      </c>
    </row>
    <row r="6">
      <c r="B6" s="8" t="s">
        <v>3</v>
      </c>
      <c r="C6" s="9">
        <f>IFERROR(VLOOKUP($C$2, 'پایگاه داده حد انتظار'!$A$2:$H$33, 4, FALSE), 0)</f>
        <v>2170</v>
      </c>
      <c r="D6" s="9" t="str">
        <f>IFERROR(VLOOKUP($C$2, 'گزارش عملکرد ماهانه'!$A$2:$F$33, 3, FALSE), 0)</f>
        <v/>
      </c>
      <c r="E6" s="10">
        <f t="shared" si="1"/>
        <v>0</v>
      </c>
    </row>
    <row r="7">
      <c r="B7" s="8" t="s">
        <v>4</v>
      </c>
      <c r="C7" s="9">
        <f>IFERROR(VLOOKUP($C$2, 'پایگاه داده حد انتظار'!$A$2:$H$33, 5, FALSE), 0)</f>
        <v>620</v>
      </c>
      <c r="D7" s="9" t="str">
        <f>IFERROR(VLOOKUP($C$2, 'گزارش عملکرد ماهانه'!$A$2:$F$33, 4, FALSE), 0)</f>
        <v/>
      </c>
      <c r="E7" s="10">
        <f t="shared" si="1"/>
        <v>0</v>
      </c>
    </row>
    <row r="8">
      <c r="B8" s="8" t="s">
        <v>5</v>
      </c>
      <c r="C8" s="9">
        <f>IFERROR(VLOOKUP($C$2, 'پایگاه داده حد انتظار'!$A$2:$H$33, 6, FALSE), 0)</f>
        <v>30</v>
      </c>
      <c r="D8" s="9" t="str">
        <f>IFERROR(VLOOKUP($C$2, 'گزارش عملکرد ماهانه'!$A$2:$F$33, 5, FALSE), 0)</f>
        <v/>
      </c>
      <c r="E8" s="10">
        <f t="shared" si="1"/>
        <v>0</v>
      </c>
    </row>
    <row r="9">
      <c r="B9" s="8" t="s">
        <v>6</v>
      </c>
      <c r="C9" s="9">
        <f>IFERROR(VLOOKUP($C$2, 'پایگاه داده حد انتظار'!$A$2:$H$33, 7, FALSE), 0)</f>
        <v>1</v>
      </c>
      <c r="D9" s="9" t="str">
        <f>IFERROR(VLOOKUP($C$2, 'گزارش عملکرد ماهانه'!$A$2:$F$33, 6, FALSE), 0)</f>
        <v/>
      </c>
      <c r="E9" s="10">
        <f t="shared" si="1"/>
        <v>0</v>
      </c>
    </row>
    <row r="10">
      <c r="B10" s="5"/>
      <c r="C10" s="5"/>
      <c r="D10" s="5"/>
      <c r="E10" s="5"/>
    </row>
    <row r="11">
      <c r="B11" s="6" t="s">
        <v>45</v>
      </c>
      <c r="C11" s="11">
        <f>AVERAGE(E5:E9)</f>
        <v>0</v>
      </c>
      <c r="D11" s="5"/>
      <c r="E11" s="5"/>
    </row>
    <row r="12">
      <c r="B12" s="5"/>
      <c r="C12" s="5"/>
      <c r="D12" s="5"/>
      <c r="E12" s="5"/>
    </row>
  </sheetData>
  <dataValidations>
    <dataValidation type="list" allowBlank="1" sqref="C2">
      <formula1>'پایگاه داده حد انتظار'!$A$2:$A$33</formula1>
    </dataValidation>
  </dataValidations>
  <drawing r:id="rId1"/>
  <tableParts count="1">
    <tablePart r:id="rId3"/>
  </tableParts>
</worksheet>
</file>