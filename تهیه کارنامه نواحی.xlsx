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8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</fonts>
  <fills count="26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</fills>
  <borders count="38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4" t="inlineStr">
        <is>
          <t>سال ارزیابی: ۱۴۰۵ | مبنای سنجش: شاخص‌های ابلاغی به ازای هر حوزه مقاومت | پایش برخط و خودکار متصل به گزارش عملکرد ماهانه</t>
        </is>
      </c>
    </row>
    <row r="3" ht="10" customHeight="1" s="12"/>
    <row r="4" ht="22" customHeight="1" s="12">
      <c r="B4" s="15" t="inlineStr">
        <is>
          <t>🏢 پوشش تشکیلاتی استان</t>
        </is>
      </c>
      <c r="C4" s="115" t="n"/>
      <c r="D4" s="116" t="n"/>
      <c r="E4" s="17" t="inlineStr">
        <is>
          <t>📊 میانگین نمره عملکرد استان</t>
        </is>
      </c>
      <c r="F4" s="117" t="n"/>
      <c r="G4" s="117" t="n"/>
      <c r="H4" s="118" t="n"/>
      <c r="I4" s="19" t="inlineStr">
        <is>
          <t>🏆 پیشتاز عملکرد استان (رتبه ۱)</t>
        </is>
      </c>
      <c r="J4" s="119" t="n"/>
      <c r="K4" s="119" t="n"/>
      <c r="L4" s="120" t="n"/>
      <c r="M4" s="21" t="inlineStr">
        <is>
          <t>📥 وضعیت دریافت گزارش ماهانه</t>
        </is>
      </c>
      <c r="N4" s="121" t="n"/>
      <c r="O4" s="121" t="n"/>
      <c r="P4" s="122" t="n"/>
      <c r="Q4" s="23" t="inlineStr">
        <is>
          <t>🎯 تفکیک سطوح کیفی عملکرد نواحی</t>
        </is>
      </c>
      <c r="R4" s="123" t="n"/>
      <c r="S4" s="123" t="n"/>
      <c r="T4" s="123" t="n"/>
      <c r="U4" s="123" t="n"/>
      <c r="V4" s="123" t="n"/>
      <c r="W4" s="124" t="n"/>
    </row>
    <row r="5" ht="30" customHeight="1" s="12">
      <c r="B5" s="25" t="inlineStr">
        <is>
          <t>۳۲ ناحیه | ۲۲۹ حوزه مقاومت</t>
        </is>
      </c>
      <c r="C5" s="125" t="n"/>
      <c r="D5" s="126" t="n"/>
      <c r="E5" s="27">
        <f>IFERROR(AVERAGE(T31:T62), 0)</f>
        <v/>
      </c>
      <c r="F5" s="125" t="n"/>
      <c r="G5" s="125" t="n"/>
      <c r="H5" s="126" t="n"/>
      <c r="I5" s="29">
        <f>IF(MAX(T31:T62)&gt;0, INDEX(B31:B62, MATCH(MAX(T31:T62), T31:T62, 0)), "در انتظار ثبت داده")</f>
        <v/>
      </c>
      <c r="J5" s="125" t="n"/>
      <c r="K5" s="125" t="n"/>
      <c r="L5" s="126" t="n"/>
      <c r="M5" s="31">
        <f>COUNTIF(W31:W62, "ثبت شده") &amp; " از ۳۲ ناحیه"</f>
        <v/>
      </c>
      <c r="N5" s="125" t="n"/>
      <c r="O5" s="125" t="n"/>
      <c r="P5" s="126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125" t="n"/>
      <c r="S5" s="125" t="n"/>
      <c r="T5" s="125" t="n"/>
      <c r="U5" s="125" t="n"/>
      <c r="V5" s="125" t="n"/>
      <c r="W5" s="126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125" t="n"/>
      <c r="D6" s="1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125" t="n"/>
      <c r="G6" s="125" t="n"/>
      <c r="H6" s="126" t="n"/>
      <c r="I6" s="37">
        <f>IF(MAX(T31:T62)&gt;0, "نمره تحقق: " &amp; TEXT(MAX(T31:T62), "0.0%"), "-")</f>
        <v/>
      </c>
      <c r="J6" s="125" t="n"/>
      <c r="K6" s="125" t="n"/>
      <c r="L6" s="126" t="n"/>
      <c r="M6" s="38">
        <f>"نرخ مشارکت: " &amp; TEXT(COUNTIF(W31:W62, "ثبت شده")/32, "0.0%")</f>
        <v/>
      </c>
      <c r="N6" s="125" t="n"/>
      <c r="O6" s="125" t="n"/>
      <c r="P6" s="126" t="n"/>
      <c r="Q6" s="39">
        <f>"نواحی فاقد گزارش: " &amp; COUNTIF(W31:W62, "فاقد گزارش") &amp; " ناحیه"</f>
        <v/>
      </c>
      <c r="R6" s="125" t="n"/>
      <c r="S6" s="125" t="n"/>
      <c r="T6" s="125" t="n"/>
      <c r="U6" s="125" t="n"/>
      <c r="V6" s="125" t="n"/>
      <c r="W6" s="126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127" t="n"/>
      <c r="C29" s="128" t="n"/>
      <c r="D29" s="68" t="inlineStr">
        <is>
          <t>۱. حضوری و توانمندسازی (۳۱×)</t>
        </is>
      </c>
      <c r="E29" s="127" t="n"/>
      <c r="F29" s="128" t="n"/>
      <c r="G29" s="70" t="inlineStr">
        <is>
          <t>۲. مجازی و لایو (۲۱۷×)</t>
        </is>
      </c>
      <c r="H29" s="127" t="n"/>
      <c r="I29" s="128" t="n"/>
      <c r="J29" s="72" t="inlineStr">
        <is>
          <t>۳. اقدامات خلاقانه (۶۲×)</t>
        </is>
      </c>
      <c r="K29" s="127" t="n"/>
      <c r="L29" s="128" t="n"/>
      <c r="M29" s="74" t="inlineStr">
        <is>
          <t>۴. تولیدات رسانه‌ای (۳×)</t>
        </is>
      </c>
      <c r="N29" s="127" t="n"/>
      <c r="O29" s="128" t="n"/>
      <c r="P29" s="76" t="inlineStr">
        <is>
          <t>۵. نشست انجمن (۱×)</t>
        </is>
      </c>
      <c r="Q29" s="127" t="n"/>
      <c r="R29" s="128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127" t="n"/>
      <c r="V29" s="127" t="n"/>
      <c r="W29" s="128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C73" s="127" t="n"/>
      <c r="D73" s="127" t="n"/>
      <c r="E73" s="128" t="n"/>
      <c r="F73" s="104">
        <f>HYPERLINK("#'گزارش عملکرد ماهانه'!A1", "✏️ ورود به شیت ثبت عملکرد ماهانه نواحی ↗")</f>
        <v/>
      </c>
      <c r="G73" s="127" t="n"/>
      <c r="H73" s="127" t="n"/>
      <c r="I73" s="128" t="n"/>
      <c r="J73" s="105">
        <f>HYPERLINK("#'پایگاه داده حد انتظار'!A1", "⚙️ ورود به پایگاه داده و حدانتظار حوزه‌ها ↗")</f>
        <v/>
      </c>
      <c r="K73" s="127" t="n"/>
      <c r="L73" s="127" t="n"/>
      <c r="M73" s="128" t="n"/>
    </row>
  </sheetData>
  <mergeCells count="36">
    <mergeCell ref="A68:W68"/>
    <mergeCell ref="B9:K9"/>
    <mergeCell ref="I4:L4"/>
    <mergeCell ref="S29"/>
    <mergeCell ref="A1:W1"/>
    <mergeCell ref="M4:P4"/>
    <mergeCell ref="A70:W70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2:W2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6" t="n"/>
      <c r="E2" s="6" t="n"/>
    </row>
    <row r="3">
      <c r="B3" s="6" t="n"/>
      <c r="C3" s="6" t="n"/>
      <c r="D3" s="6" t="n"/>
      <c r="E3" s="6" t="n"/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dataValidations count="1">
    <dataValidation sqref="C2" showDropDown="0" showInputMessage="0" showErrorMessage="0" allowBlank="1" type="list">
      <formula1>'پایگاه داده حد انتظار'!$A$2:$A$33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>
        <v>1064</v>
      </c>
      <c r="C4" s="9" t="n">
        <v>0</v>
      </c>
      <c r="D4" s="9" t="n">
        <v>0</v>
      </c>
      <c r="E4" s="9" t="n">
        <v>0</v>
      </c>
      <c r="F4" s="9" t="n">
        <v>1</v>
      </c>
    </row>
    <row r="5">
      <c r="A5" s="9" t="inlineStr">
        <is>
          <t>امام صادق(ع)</t>
        </is>
      </c>
      <c r="B5" s="9" t="n">
        <v>4189</v>
      </c>
      <c r="C5" s="9" t="n">
        <v>0</v>
      </c>
      <c r="D5" s="9" t="n">
        <v>0</v>
      </c>
      <c r="E5" s="9" t="n">
        <v>25</v>
      </c>
      <c r="F5" s="9" t="n">
        <v>1</v>
      </c>
    </row>
    <row r="6">
      <c r="A6" s="9" t="inlineStr">
        <is>
          <t>امام علی(ع)</t>
        </is>
      </c>
      <c r="B6" s="9" t="n">
        <v>815</v>
      </c>
      <c r="C6" s="9" t="n">
        <v>0</v>
      </c>
      <c r="D6" s="9" t="n">
        <v>0</v>
      </c>
      <c r="E6" s="9" t="n">
        <v>4</v>
      </c>
      <c r="F6" s="9" t="n">
        <v>1</v>
      </c>
    </row>
    <row r="7">
      <c r="A7" s="9" t="inlineStr">
        <is>
          <t>اردستان</t>
        </is>
      </c>
      <c r="B7" s="9" t="n">
        <v>145</v>
      </c>
      <c r="C7" s="9" t="n">
        <v>15</v>
      </c>
      <c r="D7" s="9" t="n">
        <v>0</v>
      </c>
      <c r="E7" s="9" t="n">
        <v>3</v>
      </c>
      <c r="F7" s="9" t="n">
        <v>1</v>
      </c>
    </row>
    <row r="8">
      <c r="A8" s="9" t="inlineStr">
        <is>
          <t>برخوار</t>
        </is>
      </c>
      <c r="B8" s="9" t="n">
        <v>46</v>
      </c>
      <c r="C8" s="9" t="n">
        <v>0</v>
      </c>
      <c r="D8" s="9" t="n">
        <v>4396</v>
      </c>
      <c r="E8" s="9" t="n">
        <v>4</v>
      </c>
      <c r="F8" s="9" t="n">
        <v>1</v>
      </c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>
        <v>9</v>
      </c>
      <c r="C11" s="9" t="n">
        <v>0</v>
      </c>
      <c r="D11" s="9" t="n">
        <v>0</v>
      </c>
      <c r="E11" s="9" t="n">
        <v>0</v>
      </c>
      <c r="F11" s="9" t="n">
        <v>1</v>
      </c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>
        <v>156</v>
      </c>
      <c r="C14" s="9" t="n">
        <v>9</v>
      </c>
      <c r="D14" s="9" t="n">
        <v>1634</v>
      </c>
      <c r="E14" s="9" t="n">
        <v>2</v>
      </c>
      <c r="F14" s="9" t="n">
        <v>1</v>
      </c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>
        <v>2299</v>
      </c>
      <c r="C16" s="9" t="n">
        <v>0</v>
      </c>
      <c r="D16" s="9" t="n">
        <v>0</v>
      </c>
      <c r="E16" s="9" t="n">
        <v>0</v>
      </c>
      <c r="F16" s="9" t="n">
        <v>1</v>
      </c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>
        <v>213</v>
      </c>
      <c r="C20" s="9" t="n">
        <v>0</v>
      </c>
      <c r="D20" s="9" t="n">
        <v>3366</v>
      </c>
      <c r="E20" s="9" t="n">
        <v>64</v>
      </c>
      <c r="F20" s="9" t="n">
        <v>1</v>
      </c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>
        <v>0</v>
      </c>
      <c r="C22" s="9" t="n">
        <v>0</v>
      </c>
      <c r="D22" s="9" t="n">
        <v>0</v>
      </c>
      <c r="E22" s="9" t="n">
        <v>4</v>
      </c>
      <c r="F22" s="9" t="n">
        <v>1</v>
      </c>
    </row>
    <row r="23">
      <c r="A23" s="9" t="inlineStr">
        <is>
          <t>فلاورجان</t>
        </is>
      </c>
      <c r="B23" s="9" t="n">
        <v>1583</v>
      </c>
      <c r="C23" s="9" t="n">
        <v>12</v>
      </c>
      <c r="D23" s="9" t="n">
        <v>11348</v>
      </c>
      <c r="E23" s="9" t="n">
        <v>3</v>
      </c>
      <c r="F23" s="9" t="n">
        <v>1</v>
      </c>
    </row>
    <row r="24">
      <c r="A24" s="9" t="inlineStr">
        <is>
          <t>کاشان</t>
        </is>
      </c>
      <c r="B24" s="9" t="n">
        <v>455</v>
      </c>
      <c r="C24" s="9" t="n">
        <v>0</v>
      </c>
      <c r="D24" s="9" t="n">
        <v>136</v>
      </c>
      <c r="E24" s="9" t="n">
        <v>2</v>
      </c>
      <c r="F24" s="9" t="n">
        <v>1</v>
      </c>
    </row>
    <row r="25">
      <c r="A25" s="9" t="inlineStr">
        <is>
          <t>کوهپایه</t>
        </is>
      </c>
      <c r="B25" s="9" t="n">
        <v>264</v>
      </c>
      <c r="C25" s="9" t="n">
        <v>90</v>
      </c>
      <c r="D25" s="9" t="n">
        <v>502</v>
      </c>
      <c r="E25" s="9" t="n">
        <v>3</v>
      </c>
      <c r="F25" s="9" t="n">
        <v>1</v>
      </c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>
        <v>70</v>
      </c>
      <c r="C27" s="9" t="n">
        <v>0</v>
      </c>
      <c r="D27" s="9" t="n">
        <v>0</v>
      </c>
      <c r="E27" s="9" t="n">
        <v>0</v>
      </c>
      <c r="F27" s="9" t="n">
        <v>1</v>
      </c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>
        <v>1002</v>
      </c>
      <c r="C31" s="9" t="n">
        <v>187</v>
      </c>
      <c r="D31" s="9" t="n">
        <v>3800</v>
      </c>
      <c r="E31" s="9" t="n">
        <v>8</v>
      </c>
      <c r="F31" s="9" t="n">
        <v>1</v>
      </c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2026-09-20T10:49:38Z</dcterms:modified>
</cp:coreProperties>
</file>