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اشبورد مانیتورینگ ۳ ماهه" sheetId="1" state="visible" r:id="rId1"/>
    <sheet name="کارنامه هوشمند ۳ ماهه" sheetId="2" state="visible" r:id="rId2"/>
    <sheet name="گزارش عملکرد ۳ ماهه" sheetId="3" state="visible" r:id="rId3"/>
    <sheet name="پایگاه داده حد انتظار ۳ ماه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IRANSans"/>
      <b val="1"/>
      <color rgb="00FFFFFF"/>
      <sz val="11"/>
    </font>
    <font>
      <name val="IRANSans"/>
      <b val="1"/>
      <sz val="11"/>
    </font>
    <font>
      <name val="IRANSans"/>
      <sz val="11"/>
    </font>
    <font>
      <name val="IRANSans"/>
      <b val="1"/>
      <color rgb="001F4E79"/>
      <sz val="13"/>
    </font>
    <font>
      <name val="IRANSans"/>
      <b val="1"/>
      <color rgb="001F4E79"/>
      <sz val="11"/>
    </font>
    <font>
      <name val="IRANSans"/>
      <b val="1"/>
      <color rgb="00843B62"/>
      <sz val="11"/>
    </font>
    <font>
      <name val="IRANSans"/>
      <b val="1"/>
      <color rgb="00C0392B"/>
      <sz val="11"/>
    </font>
    <font>
      <name val="IRANSans"/>
      <b val="1"/>
      <color rgb="00C0392B"/>
      <sz val="13"/>
    </font>
    <font>
      <name val="IRANSans"/>
      <b val="1"/>
      <color rgb="00FFFFFF"/>
      <sz val="14"/>
    </font>
    <font>
      <name val="IRANSans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BF1F5"/>
        <bgColor rgb="00EBF1F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165" fontId="7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0" borderId="1" pivotButton="0" quotePrefix="0" xfId="0"/>
    <xf numFmtId="0" fontId="7" fillId="4" borderId="1" pivotButton="0" quotePrefix="0" xfId="0"/>
    <xf numFmtId="165" fontId="8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rightToLeft="1" workbookViewId="0">
      <selection activeCell="A1" sqref="A1"/>
    </sheetView>
  </sheetViews>
  <sheetFormatPr baseColWidth="8" defaultRowHeight="15"/>
  <cols>
    <col width="144" customWidth="1" min="1" max="1"/>
    <col width="38" customWidth="1" min="2" max="2"/>
    <col width="38" customWidth="1" min="3" max="3"/>
    <col width="38" customWidth="1" min="4" max="4"/>
    <col width="29" customWidth="1" min="5" max="5"/>
    <col width="23" customWidth="1" min="6" max="6"/>
    <col width="38" customWidth="1" min="7" max="7"/>
    <col width="29" customWidth="1" min="8" max="8"/>
    <col width="23" customWidth="1" min="9" max="9"/>
    <col width="38" customWidth="1" min="10" max="10"/>
    <col width="29" customWidth="1" min="11" max="11"/>
    <col width="23" customWidth="1" min="12" max="12"/>
    <col width="38" customWidth="1" min="13" max="13"/>
    <col width="29" customWidth="1" min="14" max="14"/>
    <col width="23" customWidth="1" min="15" max="15"/>
    <col width="38" customWidth="1" min="16" max="16"/>
    <col width="29" customWidth="1" min="17" max="17"/>
    <col width="23" customWidth="1" min="18" max="18"/>
    <col width="107" customWidth="1" min="19" max="19"/>
    <col width="127" customWidth="1" min="20" max="20"/>
    <col width="43" customWidth="1" min="21" max="21"/>
    <col width="53" customWidth="1" min="22" max="22"/>
  </cols>
  <sheetData>
    <row r="1">
      <c r="A1" s="1" t="inlineStr">
        <is>
          <t>سامانه هوشمند مانیتورینگ جامع عملکرد ۳ ماهه (فصلی) نواحی نسرا - استان اصفهان</t>
        </is>
      </c>
    </row>
    <row r="2">
      <c r="A2" s="2">
        <f>"سال ارزیابی: " &amp; 'کارنامه هوشمند ۳ ماهه'!E3 &amp; " | دوره: " &amp; 'کارنامه هوشمند ۳ ماهه'!C3 &amp; " | مقیاس نمره‌دهی رسمی: ۷۰ (حداقل) تا ۱۰۰ (عالی)"</f>
        <v/>
      </c>
    </row>
    <row r="30">
      <c r="A30" s="3" t="inlineStr">
        <is>
          <t>ردیف</t>
        </is>
      </c>
      <c r="B30" s="3" t="inlineStr">
        <is>
          <t>نام ناحیه (شهرستان)</t>
        </is>
      </c>
      <c r="C30" s="3" t="inlineStr">
        <is>
          <t>تعداد حوزه</t>
        </is>
      </c>
      <c r="D30" s="3" t="inlineStr">
        <is>
          <t>حد انتظار حضوری</t>
        </is>
      </c>
      <c r="E30" s="3" t="inlineStr">
        <is>
          <t>عملکرد حضوری</t>
        </is>
      </c>
      <c r="F30" s="3" t="inlineStr">
        <is>
          <t>% تحقق حضوری</t>
        </is>
      </c>
      <c r="G30" s="3" t="inlineStr">
        <is>
          <t>حد انتظار مجازی</t>
        </is>
      </c>
      <c r="H30" s="3" t="inlineStr">
        <is>
          <t>عملکرد مجازی</t>
        </is>
      </c>
      <c r="I30" s="3" t="inlineStr">
        <is>
          <t>% تحقق مجازی</t>
        </is>
      </c>
      <c r="J30" s="3" t="inlineStr">
        <is>
          <t>حد انتظار خلاقانه</t>
        </is>
      </c>
      <c r="K30" s="3" t="inlineStr">
        <is>
          <t>عملکرد خلاقانه</t>
        </is>
      </c>
      <c r="L30" s="3" t="inlineStr">
        <is>
          <t>% تحقق خلاقانه</t>
        </is>
      </c>
      <c r="M30" s="3" t="inlineStr">
        <is>
          <t>حد انتظار تولیدات</t>
        </is>
      </c>
      <c r="N30" s="3" t="inlineStr">
        <is>
          <t>عملکرد تولیدات</t>
        </is>
      </c>
      <c r="O30" s="3" t="inlineStr">
        <is>
          <t>% تحقق تولیدات</t>
        </is>
      </c>
      <c r="P30" s="3" t="inlineStr">
        <is>
          <t>حد انتظار نشست</t>
        </is>
      </c>
      <c r="Q30" s="3" t="inlineStr">
        <is>
          <t>عملکرد نشست</t>
        </is>
      </c>
      <c r="R30" s="3" t="inlineStr">
        <is>
          <t>% تحقق نشست</t>
        </is>
      </c>
      <c r="S30" s="3" t="inlineStr">
        <is>
          <t>درصد تحقق وزنی اهداف</t>
        </is>
      </c>
      <c r="T30" s="3" t="inlineStr">
        <is>
          <t>نمره کارنامه (۷۰-۱۰۰)</t>
        </is>
      </c>
      <c r="U30" s="3" t="inlineStr">
        <is>
          <t>رتبه استانی</t>
        </is>
      </c>
      <c r="V30" s="3" t="inlineStr">
        <is>
          <t>سطح ارزیابی (۳ سطح)</t>
        </is>
      </c>
    </row>
    <row r="31">
      <c r="A31" s="4" t="n">
        <v>1</v>
      </c>
      <c r="B31" s="5">
        <f>'پایگاه داده حد انتظار ۳ ماهه'!A2</f>
        <v/>
      </c>
      <c r="C31" s="4">
        <f>'پایگاه داده حد انتظار ۳ ماهه'!B2</f>
        <v/>
      </c>
      <c r="D31" s="6">
        <f>'پایگاه داده حد انتظار ۳ ماهه'!C2</f>
        <v/>
      </c>
      <c r="E31" s="6">
        <f>'گزارش عملکرد ۳ ماهه'!B2</f>
        <v/>
      </c>
      <c r="F31" s="7">
        <f>IFERROR(E31/D31, 0)</f>
        <v/>
      </c>
      <c r="G31" s="6">
        <f>'پایگاه داده حد انتظار ۳ ماهه'!D2</f>
        <v/>
      </c>
      <c r="H31" s="6">
        <f>'گزارش عملکرد ۳ ماهه'!C2</f>
        <v/>
      </c>
      <c r="I31" s="7">
        <f>IFERROR(H31/G31, 0)</f>
        <v/>
      </c>
      <c r="J31" s="6">
        <f>'پایگاه داده حد انتظار ۳ ماهه'!E2</f>
        <v/>
      </c>
      <c r="K31" s="6">
        <f>'گزارش عملکرد ۳ ماهه'!D2</f>
        <v/>
      </c>
      <c r="L31" s="7">
        <f>IFERROR(K31/J31, 0)</f>
        <v/>
      </c>
      <c r="M31" s="6">
        <f>'پایگاه داده حد انتظار ۳ ماهه'!F2</f>
        <v/>
      </c>
      <c r="N31" s="6">
        <f>'گزارش عملکرد ۳ ماهه'!E2</f>
        <v/>
      </c>
      <c r="O31" s="7">
        <f>IFERROR(N31/M31, 0)</f>
        <v/>
      </c>
      <c r="P31" s="6">
        <f>'پایگاه داده حد انتظار ۳ ماهه'!G2</f>
        <v/>
      </c>
      <c r="Q31" s="6">
        <f>'گزارش عملکرد ۳ ماهه'!F2</f>
        <v/>
      </c>
      <c r="R31" s="7">
        <f>IFERROR(Q31/P31, 0)</f>
        <v/>
      </c>
      <c r="S31" s="8">
        <f>(MIN(0.4, 0.1*F31 + 0.3*I31) + MIN(0.5, 0.5*L31 + MAX(0, 0.1*F31 + 0.3*I31 - 0.4)) + MIN(0.1, 0.1*O31))</f>
        <v/>
      </c>
      <c r="T31" s="9">
        <f>ROUND(70 + 30 * (MIN(0.4, 0.1*F31 + 0.3*I31) + MIN(0.5, 0.5*L31 + MAX(0, 0.1*F31 + 0.3*I31 - 0.4)) + MIN(0.1, 0.1*O31)), 1)</f>
        <v/>
      </c>
      <c r="U31" s="10">
        <f>IF(T31&gt;70, RANK(T31, $T$31:$T$62), "-")</f>
        <v/>
      </c>
      <c r="V31" s="10">
        <f>IF(T31&lt;=70, "ضعیف", IF(T31&gt;=90, "عالی", "متوسط"))</f>
        <v/>
      </c>
    </row>
    <row r="32">
      <c r="A32" s="4" t="n">
        <v>2</v>
      </c>
      <c r="B32" s="5">
        <f>'پایگاه داده حد انتظار ۳ ماهه'!A3</f>
        <v/>
      </c>
      <c r="C32" s="4">
        <f>'پایگاه داده حد انتظار ۳ ماهه'!B3</f>
        <v/>
      </c>
      <c r="D32" s="6">
        <f>'پایگاه داده حد انتظار ۳ ماهه'!C3</f>
        <v/>
      </c>
      <c r="E32" s="6">
        <f>'گزارش عملکرد ۳ ماهه'!B3</f>
        <v/>
      </c>
      <c r="F32" s="7">
        <f>IFERROR(E32/D32, 0)</f>
        <v/>
      </c>
      <c r="G32" s="6">
        <f>'پایگاه داده حد انتظار ۳ ماهه'!D3</f>
        <v/>
      </c>
      <c r="H32" s="6">
        <f>'گزارش عملکرد ۳ ماهه'!C3</f>
        <v/>
      </c>
      <c r="I32" s="7">
        <f>IFERROR(H32/G32, 0)</f>
        <v/>
      </c>
      <c r="J32" s="6">
        <f>'پایگاه داده حد انتظار ۳ ماهه'!E3</f>
        <v/>
      </c>
      <c r="K32" s="6">
        <f>'گزارش عملکرد ۳ ماهه'!D3</f>
        <v/>
      </c>
      <c r="L32" s="7">
        <f>IFERROR(K32/J32, 0)</f>
        <v/>
      </c>
      <c r="M32" s="6">
        <f>'پایگاه داده حد انتظار ۳ ماهه'!F3</f>
        <v/>
      </c>
      <c r="N32" s="6">
        <f>'گزارش عملکرد ۳ ماهه'!E3</f>
        <v/>
      </c>
      <c r="O32" s="7">
        <f>IFERROR(N32/M32, 0)</f>
        <v/>
      </c>
      <c r="P32" s="6">
        <f>'پایگاه داده حد انتظار ۳ ماهه'!G3</f>
        <v/>
      </c>
      <c r="Q32" s="6">
        <f>'گزارش عملکرد ۳ ماهه'!F3</f>
        <v/>
      </c>
      <c r="R32" s="7">
        <f>IFERROR(Q32/P32, 0)</f>
        <v/>
      </c>
      <c r="S32" s="8">
        <f>(MIN(0.4, 0.1*F32 + 0.3*I32) + MIN(0.5, 0.5*L32 + MAX(0, 0.1*F32 + 0.3*I32 - 0.4)) + MIN(0.1, 0.1*O32))</f>
        <v/>
      </c>
      <c r="T32" s="9">
        <f>ROUND(70 + 30 * (MIN(0.4, 0.1*F32 + 0.3*I32) + MIN(0.5, 0.5*L32 + MAX(0, 0.1*F32 + 0.3*I32 - 0.4)) + MIN(0.1, 0.1*O32)), 1)</f>
        <v/>
      </c>
      <c r="U32" s="10">
        <f>IF(T32&gt;70, RANK(T32, $T$31:$T$62), "-")</f>
        <v/>
      </c>
      <c r="V32" s="10">
        <f>IF(T32&lt;=70, "ضعیف", IF(T32&gt;=90, "عالی", "متوسط"))</f>
        <v/>
      </c>
    </row>
    <row r="33">
      <c r="A33" s="4" t="n">
        <v>3</v>
      </c>
      <c r="B33" s="5">
        <f>'پایگاه داده حد انتظار ۳ ماهه'!A4</f>
        <v/>
      </c>
      <c r="C33" s="4">
        <f>'پایگاه داده حد انتظار ۳ ماهه'!B4</f>
        <v/>
      </c>
      <c r="D33" s="6">
        <f>'پایگاه داده حد انتظار ۳ ماهه'!C4</f>
        <v/>
      </c>
      <c r="E33" s="6">
        <f>'گزارش عملکرد ۳ ماهه'!B4</f>
        <v/>
      </c>
      <c r="F33" s="7">
        <f>IFERROR(E33/D33, 0)</f>
        <v/>
      </c>
      <c r="G33" s="6">
        <f>'پایگاه داده حد انتظار ۳ ماهه'!D4</f>
        <v/>
      </c>
      <c r="H33" s="6">
        <f>'گزارش عملکرد ۳ ماهه'!C4</f>
        <v/>
      </c>
      <c r="I33" s="7">
        <f>IFERROR(H33/G33, 0)</f>
        <v/>
      </c>
      <c r="J33" s="6">
        <f>'پایگاه داده حد انتظار ۳ ماهه'!E4</f>
        <v/>
      </c>
      <c r="K33" s="6">
        <f>'گزارش عملکرد ۳ ماهه'!D4</f>
        <v/>
      </c>
      <c r="L33" s="7">
        <f>IFERROR(K33/J33, 0)</f>
        <v/>
      </c>
      <c r="M33" s="6">
        <f>'پایگاه داده حد انتظار ۳ ماهه'!F4</f>
        <v/>
      </c>
      <c r="N33" s="6">
        <f>'گزارش عملکرد ۳ ماهه'!E4</f>
        <v/>
      </c>
      <c r="O33" s="7">
        <f>IFERROR(N33/M33, 0)</f>
        <v/>
      </c>
      <c r="P33" s="6">
        <f>'پایگاه داده حد انتظار ۳ ماهه'!G4</f>
        <v/>
      </c>
      <c r="Q33" s="6">
        <f>'گزارش عملکرد ۳ ماهه'!F4</f>
        <v/>
      </c>
      <c r="R33" s="7">
        <f>IFERROR(Q33/P33, 0)</f>
        <v/>
      </c>
      <c r="S33" s="8">
        <f>(MIN(0.4, 0.1*F33 + 0.3*I33) + MIN(0.5, 0.5*L33 + MAX(0, 0.1*F33 + 0.3*I33 - 0.4)) + MIN(0.1, 0.1*O33))</f>
        <v/>
      </c>
      <c r="T33" s="9">
        <f>ROUND(70 + 30 * (MIN(0.4, 0.1*F33 + 0.3*I33) + MIN(0.5, 0.5*L33 + MAX(0, 0.1*F33 + 0.3*I33 - 0.4)) + MIN(0.1, 0.1*O33)), 1)</f>
        <v/>
      </c>
      <c r="U33" s="10">
        <f>IF(T33&gt;70, RANK(T33, $T$31:$T$62), "-")</f>
        <v/>
      </c>
      <c r="V33" s="10">
        <f>IF(T33&lt;=70, "ضعیف", IF(T33&gt;=90, "عالی", "متوسط"))</f>
        <v/>
      </c>
    </row>
    <row r="34">
      <c r="A34" s="4" t="n">
        <v>4</v>
      </c>
      <c r="B34" s="5">
        <f>'پایگاه داده حد انتظار ۳ ماهه'!A5</f>
        <v/>
      </c>
      <c r="C34" s="4">
        <f>'پایگاه داده حد انتظار ۳ ماهه'!B5</f>
        <v/>
      </c>
      <c r="D34" s="6">
        <f>'پایگاه داده حد انتظار ۳ ماهه'!C5</f>
        <v/>
      </c>
      <c r="E34" s="6">
        <f>'گزارش عملکرد ۳ ماهه'!B5</f>
        <v/>
      </c>
      <c r="F34" s="7">
        <f>IFERROR(E34/D34, 0)</f>
        <v/>
      </c>
      <c r="G34" s="6">
        <f>'پایگاه داده حد انتظار ۳ ماهه'!D5</f>
        <v/>
      </c>
      <c r="H34" s="6">
        <f>'گزارش عملکرد ۳ ماهه'!C5</f>
        <v/>
      </c>
      <c r="I34" s="7">
        <f>IFERROR(H34/G34, 0)</f>
        <v/>
      </c>
      <c r="J34" s="6">
        <f>'پایگاه داده حد انتظار ۳ ماهه'!E5</f>
        <v/>
      </c>
      <c r="K34" s="6">
        <f>'گزارش عملکرد ۳ ماهه'!D5</f>
        <v/>
      </c>
      <c r="L34" s="7">
        <f>IFERROR(K34/J34, 0)</f>
        <v/>
      </c>
      <c r="M34" s="6">
        <f>'پایگاه داده حد انتظار ۳ ماهه'!F5</f>
        <v/>
      </c>
      <c r="N34" s="6">
        <f>'گزارش عملکرد ۳ ماهه'!E5</f>
        <v/>
      </c>
      <c r="O34" s="7">
        <f>IFERROR(N34/M34, 0)</f>
        <v/>
      </c>
      <c r="P34" s="6">
        <f>'پایگاه داده حد انتظار ۳ ماهه'!G5</f>
        <v/>
      </c>
      <c r="Q34" s="6">
        <f>'گزارش عملکرد ۳ ماهه'!F5</f>
        <v/>
      </c>
      <c r="R34" s="7">
        <f>IFERROR(Q34/P34, 0)</f>
        <v/>
      </c>
      <c r="S34" s="8">
        <f>(MIN(0.4, 0.1*F34 + 0.3*I34) + MIN(0.5, 0.5*L34 + MAX(0, 0.1*F34 + 0.3*I34 - 0.4)) + MIN(0.1, 0.1*O34))</f>
        <v/>
      </c>
      <c r="T34" s="9">
        <f>ROUND(70 + 30 * (MIN(0.4, 0.1*F34 + 0.3*I34) + MIN(0.5, 0.5*L34 + MAX(0, 0.1*F34 + 0.3*I34 - 0.4)) + MIN(0.1, 0.1*O34)), 1)</f>
        <v/>
      </c>
      <c r="U34" s="10">
        <f>IF(T34&gt;70, RANK(T34, $T$31:$T$62), "-")</f>
        <v/>
      </c>
      <c r="V34" s="10">
        <f>IF(T34&lt;=70, "ضعیف", IF(T34&gt;=90, "عالی", "متوسط"))</f>
        <v/>
      </c>
    </row>
    <row r="35">
      <c r="A35" s="4" t="n">
        <v>5</v>
      </c>
      <c r="B35" s="5">
        <f>'پایگاه داده حد انتظار ۳ ماهه'!A6</f>
        <v/>
      </c>
      <c r="C35" s="4">
        <f>'پایگاه داده حد انتظار ۳ ماهه'!B6</f>
        <v/>
      </c>
      <c r="D35" s="6">
        <f>'پایگاه داده حد انتظار ۳ ماهه'!C6</f>
        <v/>
      </c>
      <c r="E35" s="6">
        <f>'گزارش عملکرد ۳ ماهه'!B6</f>
        <v/>
      </c>
      <c r="F35" s="7">
        <f>IFERROR(E35/D35, 0)</f>
        <v/>
      </c>
      <c r="G35" s="6">
        <f>'پایگاه داده حد انتظار ۳ ماهه'!D6</f>
        <v/>
      </c>
      <c r="H35" s="6">
        <f>'گزارش عملکرد ۳ ماهه'!C6</f>
        <v/>
      </c>
      <c r="I35" s="7">
        <f>IFERROR(H35/G35, 0)</f>
        <v/>
      </c>
      <c r="J35" s="6">
        <f>'پایگاه داده حد انتظار ۳ ماهه'!E6</f>
        <v/>
      </c>
      <c r="K35" s="6">
        <f>'گزارش عملکرد ۳ ماهه'!D6</f>
        <v/>
      </c>
      <c r="L35" s="7">
        <f>IFERROR(K35/J35, 0)</f>
        <v/>
      </c>
      <c r="M35" s="6">
        <f>'پایگاه داده حد انتظار ۳ ماهه'!F6</f>
        <v/>
      </c>
      <c r="N35" s="6">
        <f>'گزارش عملکرد ۳ ماهه'!E6</f>
        <v/>
      </c>
      <c r="O35" s="7">
        <f>IFERROR(N35/M35, 0)</f>
        <v/>
      </c>
      <c r="P35" s="6">
        <f>'پایگاه داده حد انتظار ۳ ماهه'!G6</f>
        <v/>
      </c>
      <c r="Q35" s="6">
        <f>'گزارش عملکرد ۳ ماهه'!F6</f>
        <v/>
      </c>
      <c r="R35" s="7">
        <f>IFERROR(Q35/P35, 0)</f>
        <v/>
      </c>
      <c r="S35" s="8">
        <f>(MIN(0.4, 0.1*F35 + 0.3*I35) + MIN(0.5, 0.5*L35 + MAX(0, 0.1*F35 + 0.3*I35 - 0.4)) + MIN(0.1, 0.1*O35))</f>
        <v/>
      </c>
      <c r="T35" s="9">
        <f>ROUND(70 + 30 * (MIN(0.4, 0.1*F35 + 0.3*I35) + MIN(0.5, 0.5*L35 + MAX(0, 0.1*F35 + 0.3*I35 - 0.4)) + MIN(0.1, 0.1*O35)), 1)</f>
        <v/>
      </c>
      <c r="U35" s="10">
        <f>IF(T35&gt;70, RANK(T35, $T$31:$T$62), "-")</f>
        <v/>
      </c>
      <c r="V35" s="10">
        <f>IF(T35&lt;=70, "ضعیف", IF(T35&gt;=90, "عالی", "متوسط"))</f>
        <v/>
      </c>
    </row>
    <row r="36">
      <c r="A36" s="4" t="n">
        <v>6</v>
      </c>
      <c r="B36" s="5">
        <f>'پایگاه داده حد انتظار ۳ ماهه'!A7</f>
        <v/>
      </c>
      <c r="C36" s="4">
        <f>'پایگاه داده حد انتظار ۳ ماهه'!B7</f>
        <v/>
      </c>
      <c r="D36" s="6">
        <f>'پایگاه داده حد انتظار ۳ ماهه'!C7</f>
        <v/>
      </c>
      <c r="E36" s="6">
        <f>'گزارش عملکرد ۳ ماهه'!B7</f>
        <v/>
      </c>
      <c r="F36" s="7">
        <f>IFERROR(E36/D36, 0)</f>
        <v/>
      </c>
      <c r="G36" s="6">
        <f>'پایگاه داده حد انتظار ۳ ماهه'!D7</f>
        <v/>
      </c>
      <c r="H36" s="6">
        <f>'گزارش عملکرد ۳ ماهه'!C7</f>
        <v/>
      </c>
      <c r="I36" s="7">
        <f>IFERROR(H36/G36, 0)</f>
        <v/>
      </c>
      <c r="J36" s="6">
        <f>'پایگاه داده حد انتظار ۳ ماهه'!E7</f>
        <v/>
      </c>
      <c r="K36" s="6">
        <f>'گزارش عملکرد ۳ ماهه'!D7</f>
        <v/>
      </c>
      <c r="L36" s="7">
        <f>IFERROR(K36/J36, 0)</f>
        <v/>
      </c>
      <c r="M36" s="6">
        <f>'پایگاه داده حد انتظار ۳ ماهه'!F7</f>
        <v/>
      </c>
      <c r="N36" s="6">
        <f>'گزارش عملکرد ۳ ماهه'!E7</f>
        <v/>
      </c>
      <c r="O36" s="7">
        <f>IFERROR(N36/M36, 0)</f>
        <v/>
      </c>
      <c r="P36" s="6">
        <f>'پایگاه داده حد انتظار ۳ ماهه'!G7</f>
        <v/>
      </c>
      <c r="Q36" s="6">
        <f>'گزارش عملکرد ۳ ماهه'!F7</f>
        <v/>
      </c>
      <c r="R36" s="7">
        <f>IFERROR(Q36/P36, 0)</f>
        <v/>
      </c>
      <c r="S36" s="8">
        <f>(MIN(0.4, 0.1*F36 + 0.3*I36) + MIN(0.5, 0.5*L36 + MAX(0, 0.1*F36 + 0.3*I36 - 0.4)) + MIN(0.1, 0.1*O36))</f>
        <v/>
      </c>
      <c r="T36" s="9">
        <f>ROUND(70 + 30 * (MIN(0.4, 0.1*F36 + 0.3*I36) + MIN(0.5, 0.5*L36 + MAX(0, 0.1*F36 + 0.3*I36 - 0.4)) + MIN(0.1, 0.1*O36)), 1)</f>
        <v/>
      </c>
      <c r="U36" s="10">
        <f>IF(T36&gt;70, RANK(T36, $T$31:$T$62), "-")</f>
        <v/>
      </c>
      <c r="V36" s="10">
        <f>IF(T36&lt;=70, "ضعیف", IF(T36&gt;=90, "عالی", "متوسط"))</f>
        <v/>
      </c>
    </row>
    <row r="37">
      <c r="A37" s="4" t="n">
        <v>7</v>
      </c>
      <c r="B37" s="5">
        <f>'پایگاه داده حد انتظار ۳ ماهه'!A8</f>
        <v/>
      </c>
      <c r="C37" s="4">
        <f>'پایگاه داده حد انتظار ۳ ماهه'!B8</f>
        <v/>
      </c>
      <c r="D37" s="6">
        <f>'پایگاه داده حد انتظار ۳ ماهه'!C8</f>
        <v/>
      </c>
      <c r="E37" s="6">
        <f>'گزارش عملکرد ۳ ماهه'!B8</f>
        <v/>
      </c>
      <c r="F37" s="7">
        <f>IFERROR(E37/D37, 0)</f>
        <v/>
      </c>
      <c r="G37" s="6">
        <f>'پایگاه داده حد انتظار ۳ ماهه'!D8</f>
        <v/>
      </c>
      <c r="H37" s="6">
        <f>'گزارش عملکرد ۳ ماهه'!C8</f>
        <v/>
      </c>
      <c r="I37" s="7">
        <f>IFERROR(H37/G37, 0)</f>
        <v/>
      </c>
      <c r="J37" s="6">
        <f>'پایگاه داده حد انتظار ۳ ماهه'!E8</f>
        <v/>
      </c>
      <c r="K37" s="6">
        <f>'گزارش عملکرد ۳ ماهه'!D8</f>
        <v/>
      </c>
      <c r="L37" s="7">
        <f>IFERROR(K37/J37, 0)</f>
        <v/>
      </c>
      <c r="M37" s="6">
        <f>'پایگاه داده حد انتظار ۳ ماهه'!F8</f>
        <v/>
      </c>
      <c r="N37" s="6">
        <f>'گزارش عملکرد ۳ ماهه'!E8</f>
        <v/>
      </c>
      <c r="O37" s="7">
        <f>IFERROR(N37/M37, 0)</f>
        <v/>
      </c>
      <c r="P37" s="6">
        <f>'پایگاه داده حد انتظار ۳ ماهه'!G8</f>
        <v/>
      </c>
      <c r="Q37" s="6">
        <f>'گزارش عملکرد ۳ ماهه'!F8</f>
        <v/>
      </c>
      <c r="R37" s="7">
        <f>IFERROR(Q37/P37, 0)</f>
        <v/>
      </c>
      <c r="S37" s="8">
        <f>(MIN(0.4, 0.1*F37 + 0.3*I37) + MIN(0.5, 0.5*L37 + MAX(0, 0.1*F37 + 0.3*I37 - 0.4)) + MIN(0.1, 0.1*O37))</f>
        <v/>
      </c>
      <c r="T37" s="9">
        <f>ROUND(70 + 30 * (MIN(0.4, 0.1*F37 + 0.3*I37) + MIN(0.5, 0.5*L37 + MAX(0, 0.1*F37 + 0.3*I37 - 0.4)) + MIN(0.1, 0.1*O37)), 1)</f>
        <v/>
      </c>
      <c r="U37" s="10">
        <f>IF(T37&gt;70, RANK(T37, $T$31:$T$62), "-")</f>
        <v/>
      </c>
      <c r="V37" s="10">
        <f>IF(T37&lt;=70, "ضعیف", IF(T37&gt;=90, "عالی", "متوسط"))</f>
        <v/>
      </c>
    </row>
    <row r="38">
      <c r="A38" s="4" t="n">
        <v>8</v>
      </c>
      <c r="B38" s="5">
        <f>'پایگاه داده حد انتظار ۳ ماهه'!A9</f>
        <v/>
      </c>
      <c r="C38" s="4">
        <f>'پایگاه داده حد انتظار ۳ ماهه'!B9</f>
        <v/>
      </c>
      <c r="D38" s="6">
        <f>'پایگاه داده حد انتظار ۳ ماهه'!C9</f>
        <v/>
      </c>
      <c r="E38" s="6">
        <f>'گزارش عملکرد ۳ ماهه'!B9</f>
        <v/>
      </c>
      <c r="F38" s="7">
        <f>IFERROR(E38/D38, 0)</f>
        <v/>
      </c>
      <c r="G38" s="6">
        <f>'پایگاه داده حد انتظار ۳ ماهه'!D9</f>
        <v/>
      </c>
      <c r="H38" s="6">
        <f>'گزارش عملکرد ۳ ماهه'!C9</f>
        <v/>
      </c>
      <c r="I38" s="7">
        <f>IFERROR(H38/G38, 0)</f>
        <v/>
      </c>
      <c r="J38" s="6">
        <f>'پایگاه داده حد انتظار ۳ ماهه'!E9</f>
        <v/>
      </c>
      <c r="K38" s="6">
        <f>'گزارش عملکرد ۳ ماهه'!D9</f>
        <v/>
      </c>
      <c r="L38" s="7">
        <f>IFERROR(K38/J38, 0)</f>
        <v/>
      </c>
      <c r="M38" s="6">
        <f>'پایگاه داده حد انتظار ۳ ماهه'!F9</f>
        <v/>
      </c>
      <c r="N38" s="6">
        <f>'گزارش عملکرد ۳ ماهه'!E9</f>
        <v/>
      </c>
      <c r="O38" s="7">
        <f>IFERROR(N38/M38, 0)</f>
        <v/>
      </c>
      <c r="P38" s="6">
        <f>'پایگاه داده حد انتظار ۳ ماهه'!G9</f>
        <v/>
      </c>
      <c r="Q38" s="6">
        <f>'گزارش عملکرد ۳ ماهه'!F9</f>
        <v/>
      </c>
      <c r="R38" s="7">
        <f>IFERROR(Q38/P38, 0)</f>
        <v/>
      </c>
      <c r="S38" s="8">
        <f>(MIN(0.4, 0.1*F38 + 0.3*I38) + MIN(0.5, 0.5*L38 + MAX(0, 0.1*F38 + 0.3*I38 - 0.4)) + MIN(0.1, 0.1*O38))</f>
        <v/>
      </c>
      <c r="T38" s="9">
        <f>ROUND(70 + 30 * (MIN(0.4, 0.1*F38 + 0.3*I38) + MIN(0.5, 0.5*L38 + MAX(0, 0.1*F38 + 0.3*I38 - 0.4)) + MIN(0.1, 0.1*O38)), 1)</f>
        <v/>
      </c>
      <c r="U38" s="10">
        <f>IF(T38&gt;70, RANK(T38, $T$31:$T$62), "-")</f>
        <v/>
      </c>
      <c r="V38" s="10">
        <f>IF(T38&lt;=70, "ضعیف", IF(T38&gt;=90, "عالی", "متوسط"))</f>
        <v/>
      </c>
    </row>
    <row r="39">
      <c r="A39" s="4" t="n">
        <v>9</v>
      </c>
      <c r="B39" s="5">
        <f>'پایگاه داده حد انتظار ۳ ماهه'!A10</f>
        <v/>
      </c>
      <c r="C39" s="4">
        <f>'پایگاه داده حد انتظار ۳ ماهه'!B10</f>
        <v/>
      </c>
      <c r="D39" s="6">
        <f>'پایگاه داده حد انتظار ۳ ماهه'!C10</f>
        <v/>
      </c>
      <c r="E39" s="6">
        <f>'گزارش عملکرد ۳ ماهه'!B10</f>
        <v/>
      </c>
      <c r="F39" s="7">
        <f>IFERROR(E39/D39, 0)</f>
        <v/>
      </c>
      <c r="G39" s="6">
        <f>'پایگاه داده حد انتظار ۳ ماهه'!D10</f>
        <v/>
      </c>
      <c r="H39" s="6">
        <f>'گزارش عملکرد ۳ ماهه'!C10</f>
        <v/>
      </c>
      <c r="I39" s="7">
        <f>IFERROR(H39/G39, 0)</f>
        <v/>
      </c>
      <c r="J39" s="6">
        <f>'پایگاه داده حد انتظار ۳ ماهه'!E10</f>
        <v/>
      </c>
      <c r="K39" s="6">
        <f>'گزارش عملکرد ۳ ماهه'!D10</f>
        <v/>
      </c>
      <c r="L39" s="7">
        <f>IFERROR(K39/J39, 0)</f>
        <v/>
      </c>
      <c r="M39" s="6">
        <f>'پایگاه داده حد انتظار ۳ ماهه'!F10</f>
        <v/>
      </c>
      <c r="N39" s="6">
        <f>'گزارش عملکرد ۳ ماهه'!E10</f>
        <v/>
      </c>
      <c r="O39" s="7">
        <f>IFERROR(N39/M39, 0)</f>
        <v/>
      </c>
      <c r="P39" s="6">
        <f>'پایگاه داده حد انتظار ۳ ماهه'!G10</f>
        <v/>
      </c>
      <c r="Q39" s="6">
        <f>'گزارش عملکرد ۳ ماهه'!F10</f>
        <v/>
      </c>
      <c r="R39" s="7">
        <f>IFERROR(Q39/P39, 0)</f>
        <v/>
      </c>
      <c r="S39" s="8">
        <f>(MIN(0.4, 0.1*F39 + 0.3*I39) + MIN(0.5, 0.5*L39 + MAX(0, 0.1*F39 + 0.3*I39 - 0.4)) + MIN(0.1, 0.1*O39))</f>
        <v/>
      </c>
      <c r="T39" s="9">
        <f>ROUND(70 + 30 * (MIN(0.4, 0.1*F39 + 0.3*I39) + MIN(0.5, 0.5*L39 + MAX(0, 0.1*F39 + 0.3*I39 - 0.4)) + MIN(0.1, 0.1*O39)), 1)</f>
        <v/>
      </c>
      <c r="U39" s="10">
        <f>IF(T39&gt;70, RANK(T39, $T$31:$T$62), "-")</f>
        <v/>
      </c>
      <c r="V39" s="10">
        <f>IF(T39&lt;=70, "ضعیف", IF(T39&gt;=90, "عالی", "متوسط"))</f>
        <v/>
      </c>
    </row>
    <row r="40">
      <c r="A40" s="4" t="n">
        <v>10</v>
      </c>
      <c r="B40" s="5">
        <f>'پایگاه داده حد انتظار ۳ ماهه'!A11</f>
        <v/>
      </c>
      <c r="C40" s="4">
        <f>'پایگاه داده حد انتظار ۳ ماهه'!B11</f>
        <v/>
      </c>
      <c r="D40" s="6">
        <f>'پایگاه داده حد انتظار ۳ ماهه'!C11</f>
        <v/>
      </c>
      <c r="E40" s="6">
        <f>'گزارش عملکرد ۳ ماهه'!B11</f>
        <v/>
      </c>
      <c r="F40" s="7">
        <f>IFERROR(E40/D40, 0)</f>
        <v/>
      </c>
      <c r="G40" s="6">
        <f>'پایگاه داده حد انتظار ۳ ماهه'!D11</f>
        <v/>
      </c>
      <c r="H40" s="6">
        <f>'گزارش عملکرد ۳ ماهه'!C11</f>
        <v/>
      </c>
      <c r="I40" s="7">
        <f>IFERROR(H40/G40, 0)</f>
        <v/>
      </c>
      <c r="J40" s="6">
        <f>'پایگاه داده حد انتظار ۳ ماهه'!E11</f>
        <v/>
      </c>
      <c r="K40" s="6">
        <f>'گزارش عملکرد ۳ ماهه'!D11</f>
        <v/>
      </c>
      <c r="L40" s="7">
        <f>IFERROR(K40/J40, 0)</f>
        <v/>
      </c>
      <c r="M40" s="6">
        <f>'پایگاه داده حد انتظار ۳ ماهه'!F11</f>
        <v/>
      </c>
      <c r="N40" s="6">
        <f>'گزارش عملکرد ۳ ماهه'!E11</f>
        <v/>
      </c>
      <c r="O40" s="7">
        <f>IFERROR(N40/M40, 0)</f>
        <v/>
      </c>
      <c r="P40" s="6">
        <f>'پایگاه داده حد انتظار ۳ ماهه'!G11</f>
        <v/>
      </c>
      <c r="Q40" s="6">
        <f>'گزارش عملکرد ۳ ماهه'!F11</f>
        <v/>
      </c>
      <c r="R40" s="7">
        <f>IFERROR(Q40/P40, 0)</f>
        <v/>
      </c>
      <c r="S40" s="8">
        <f>(MIN(0.4, 0.1*F40 + 0.3*I40) + MIN(0.5, 0.5*L40 + MAX(0, 0.1*F40 + 0.3*I40 - 0.4)) + MIN(0.1, 0.1*O40))</f>
        <v/>
      </c>
      <c r="T40" s="9">
        <f>ROUND(70 + 30 * (MIN(0.4, 0.1*F40 + 0.3*I40) + MIN(0.5, 0.5*L40 + MAX(0, 0.1*F40 + 0.3*I40 - 0.4)) + MIN(0.1, 0.1*O40)), 1)</f>
        <v/>
      </c>
      <c r="U40" s="10">
        <f>IF(T40&gt;70, RANK(T40, $T$31:$T$62), "-")</f>
        <v/>
      </c>
      <c r="V40" s="10">
        <f>IF(T40&lt;=70, "ضعیف", IF(T40&gt;=90, "عالی", "متوسط"))</f>
        <v/>
      </c>
    </row>
    <row r="41">
      <c r="A41" s="4" t="n">
        <v>11</v>
      </c>
      <c r="B41" s="5">
        <f>'پایگاه داده حد انتظار ۳ ماهه'!A12</f>
        <v/>
      </c>
      <c r="C41" s="4">
        <f>'پایگاه داده حد انتظار ۳ ماهه'!B12</f>
        <v/>
      </c>
      <c r="D41" s="6">
        <f>'پایگاه داده حد انتظار ۳ ماهه'!C12</f>
        <v/>
      </c>
      <c r="E41" s="6">
        <f>'گزارش عملکرد ۳ ماهه'!B12</f>
        <v/>
      </c>
      <c r="F41" s="7">
        <f>IFERROR(E41/D41, 0)</f>
        <v/>
      </c>
      <c r="G41" s="6">
        <f>'پایگاه داده حد انتظار ۳ ماهه'!D12</f>
        <v/>
      </c>
      <c r="H41" s="6">
        <f>'گزارش عملکرد ۳ ماهه'!C12</f>
        <v/>
      </c>
      <c r="I41" s="7">
        <f>IFERROR(H41/G41, 0)</f>
        <v/>
      </c>
      <c r="J41" s="6">
        <f>'پایگاه داده حد انتظار ۳ ماهه'!E12</f>
        <v/>
      </c>
      <c r="K41" s="6">
        <f>'گزارش عملکرد ۳ ماهه'!D12</f>
        <v/>
      </c>
      <c r="L41" s="7">
        <f>IFERROR(K41/J41, 0)</f>
        <v/>
      </c>
      <c r="M41" s="6">
        <f>'پایگاه داده حد انتظار ۳ ماهه'!F12</f>
        <v/>
      </c>
      <c r="N41" s="6">
        <f>'گزارش عملکرد ۳ ماهه'!E12</f>
        <v/>
      </c>
      <c r="O41" s="7">
        <f>IFERROR(N41/M41, 0)</f>
        <v/>
      </c>
      <c r="P41" s="6">
        <f>'پایگاه داده حد انتظار ۳ ماهه'!G12</f>
        <v/>
      </c>
      <c r="Q41" s="6">
        <f>'گزارش عملکرد ۳ ماهه'!F12</f>
        <v/>
      </c>
      <c r="R41" s="7">
        <f>IFERROR(Q41/P41, 0)</f>
        <v/>
      </c>
      <c r="S41" s="8">
        <f>(MIN(0.4, 0.1*F41 + 0.3*I41) + MIN(0.5, 0.5*L41 + MAX(0, 0.1*F41 + 0.3*I41 - 0.4)) + MIN(0.1, 0.1*O41))</f>
        <v/>
      </c>
      <c r="T41" s="9">
        <f>ROUND(70 + 30 * (MIN(0.4, 0.1*F41 + 0.3*I41) + MIN(0.5, 0.5*L41 + MAX(0, 0.1*F41 + 0.3*I41 - 0.4)) + MIN(0.1, 0.1*O41)), 1)</f>
        <v/>
      </c>
      <c r="U41" s="10">
        <f>IF(T41&gt;70, RANK(T41, $T$31:$T$62), "-")</f>
        <v/>
      </c>
      <c r="V41" s="10">
        <f>IF(T41&lt;=70, "ضعیف", IF(T41&gt;=90, "عالی", "متوسط"))</f>
        <v/>
      </c>
    </row>
    <row r="42">
      <c r="A42" s="4" t="n">
        <v>12</v>
      </c>
      <c r="B42" s="5">
        <f>'پایگاه داده حد انتظار ۳ ماهه'!A13</f>
        <v/>
      </c>
      <c r="C42" s="4">
        <f>'پایگاه داده حد انتظار ۳ ماهه'!B13</f>
        <v/>
      </c>
      <c r="D42" s="6">
        <f>'پایگاه داده حد انتظار ۳ ماهه'!C13</f>
        <v/>
      </c>
      <c r="E42" s="6">
        <f>'گزارش عملکرد ۳ ماهه'!B13</f>
        <v/>
      </c>
      <c r="F42" s="7">
        <f>IFERROR(E42/D42, 0)</f>
        <v/>
      </c>
      <c r="G42" s="6">
        <f>'پایگاه داده حد انتظار ۳ ماهه'!D13</f>
        <v/>
      </c>
      <c r="H42" s="6">
        <f>'گزارش عملکرد ۳ ماهه'!C13</f>
        <v/>
      </c>
      <c r="I42" s="7">
        <f>IFERROR(H42/G42, 0)</f>
        <v/>
      </c>
      <c r="J42" s="6">
        <f>'پایگاه داده حد انتظار ۳ ماهه'!E13</f>
        <v/>
      </c>
      <c r="K42" s="6">
        <f>'گزارش عملکرد ۳ ماهه'!D13</f>
        <v/>
      </c>
      <c r="L42" s="7">
        <f>IFERROR(K42/J42, 0)</f>
        <v/>
      </c>
      <c r="M42" s="6">
        <f>'پایگاه داده حد انتظار ۳ ماهه'!F13</f>
        <v/>
      </c>
      <c r="N42" s="6">
        <f>'گزارش عملکرد ۳ ماهه'!E13</f>
        <v/>
      </c>
      <c r="O42" s="7">
        <f>IFERROR(N42/M42, 0)</f>
        <v/>
      </c>
      <c r="P42" s="6">
        <f>'پایگاه داده حد انتظار ۳ ماهه'!G13</f>
        <v/>
      </c>
      <c r="Q42" s="6">
        <f>'گزارش عملکرد ۳ ماهه'!F13</f>
        <v/>
      </c>
      <c r="R42" s="7">
        <f>IFERROR(Q42/P42, 0)</f>
        <v/>
      </c>
      <c r="S42" s="8">
        <f>(MIN(0.4, 0.1*F42 + 0.3*I42) + MIN(0.5, 0.5*L42 + MAX(0, 0.1*F42 + 0.3*I42 - 0.4)) + MIN(0.1, 0.1*O42))</f>
        <v/>
      </c>
      <c r="T42" s="9">
        <f>ROUND(70 + 30 * (MIN(0.4, 0.1*F42 + 0.3*I42) + MIN(0.5, 0.5*L42 + MAX(0, 0.1*F42 + 0.3*I42 - 0.4)) + MIN(0.1, 0.1*O42)), 1)</f>
        <v/>
      </c>
      <c r="U42" s="10">
        <f>IF(T42&gt;70, RANK(T42, $T$31:$T$62), "-")</f>
        <v/>
      </c>
      <c r="V42" s="10">
        <f>IF(T42&lt;=70, "ضعیف", IF(T42&gt;=90, "عالی", "متوسط"))</f>
        <v/>
      </c>
    </row>
    <row r="43">
      <c r="A43" s="4" t="n">
        <v>13</v>
      </c>
      <c r="B43" s="5">
        <f>'پایگاه داده حد انتظار ۳ ماهه'!A14</f>
        <v/>
      </c>
      <c r="C43" s="4">
        <f>'پایگاه داده حد انتظار ۳ ماهه'!B14</f>
        <v/>
      </c>
      <c r="D43" s="6">
        <f>'پایگاه داده حد انتظار ۳ ماهه'!C14</f>
        <v/>
      </c>
      <c r="E43" s="6">
        <f>'گزارش عملکرد ۳ ماهه'!B14</f>
        <v/>
      </c>
      <c r="F43" s="7">
        <f>IFERROR(E43/D43, 0)</f>
        <v/>
      </c>
      <c r="G43" s="6">
        <f>'پایگاه داده حد انتظار ۳ ماهه'!D14</f>
        <v/>
      </c>
      <c r="H43" s="6">
        <f>'گزارش عملکرد ۳ ماهه'!C14</f>
        <v/>
      </c>
      <c r="I43" s="7">
        <f>IFERROR(H43/G43, 0)</f>
        <v/>
      </c>
      <c r="J43" s="6">
        <f>'پایگاه داده حد انتظار ۳ ماهه'!E14</f>
        <v/>
      </c>
      <c r="K43" s="6">
        <f>'گزارش عملکرد ۳ ماهه'!D14</f>
        <v/>
      </c>
      <c r="L43" s="7">
        <f>IFERROR(K43/J43, 0)</f>
        <v/>
      </c>
      <c r="M43" s="6">
        <f>'پایگاه داده حد انتظار ۳ ماهه'!F14</f>
        <v/>
      </c>
      <c r="N43" s="6">
        <f>'گزارش عملکرد ۳ ماهه'!E14</f>
        <v/>
      </c>
      <c r="O43" s="7">
        <f>IFERROR(N43/M43, 0)</f>
        <v/>
      </c>
      <c r="P43" s="6">
        <f>'پایگاه داده حد انتظار ۳ ماهه'!G14</f>
        <v/>
      </c>
      <c r="Q43" s="6">
        <f>'گزارش عملکرد ۳ ماهه'!F14</f>
        <v/>
      </c>
      <c r="R43" s="7">
        <f>IFERROR(Q43/P43, 0)</f>
        <v/>
      </c>
      <c r="S43" s="8">
        <f>(MIN(0.4, 0.1*F43 + 0.3*I43) + MIN(0.5, 0.5*L43 + MAX(0, 0.1*F43 + 0.3*I43 - 0.4)) + MIN(0.1, 0.1*O43))</f>
        <v/>
      </c>
      <c r="T43" s="9">
        <f>ROUND(70 + 30 * (MIN(0.4, 0.1*F43 + 0.3*I43) + MIN(0.5, 0.5*L43 + MAX(0, 0.1*F43 + 0.3*I43 - 0.4)) + MIN(0.1, 0.1*O43)), 1)</f>
        <v/>
      </c>
      <c r="U43" s="10">
        <f>IF(T43&gt;70, RANK(T43, $T$31:$T$62), "-")</f>
        <v/>
      </c>
      <c r="V43" s="10">
        <f>IF(T43&lt;=70, "ضعیف", IF(T43&gt;=90, "عالی", "متوسط"))</f>
        <v/>
      </c>
    </row>
    <row r="44">
      <c r="A44" s="4" t="n">
        <v>14</v>
      </c>
      <c r="B44" s="5">
        <f>'پایگاه داده حد انتظار ۳ ماهه'!A15</f>
        <v/>
      </c>
      <c r="C44" s="4">
        <f>'پایگاه داده حد انتظار ۳ ماهه'!B15</f>
        <v/>
      </c>
      <c r="D44" s="6">
        <f>'پایگاه داده حد انتظار ۳ ماهه'!C15</f>
        <v/>
      </c>
      <c r="E44" s="6">
        <f>'گزارش عملکرد ۳ ماهه'!B15</f>
        <v/>
      </c>
      <c r="F44" s="7">
        <f>IFERROR(E44/D44, 0)</f>
        <v/>
      </c>
      <c r="G44" s="6">
        <f>'پایگاه داده حد انتظار ۳ ماهه'!D15</f>
        <v/>
      </c>
      <c r="H44" s="6">
        <f>'گزارش عملکرد ۳ ماهه'!C15</f>
        <v/>
      </c>
      <c r="I44" s="7">
        <f>IFERROR(H44/G44, 0)</f>
        <v/>
      </c>
      <c r="J44" s="6">
        <f>'پایگاه داده حد انتظار ۳ ماهه'!E15</f>
        <v/>
      </c>
      <c r="K44" s="6">
        <f>'گزارش عملکرد ۳ ماهه'!D15</f>
        <v/>
      </c>
      <c r="L44" s="7">
        <f>IFERROR(K44/J44, 0)</f>
        <v/>
      </c>
      <c r="M44" s="6">
        <f>'پایگاه داده حد انتظار ۳ ماهه'!F15</f>
        <v/>
      </c>
      <c r="N44" s="6">
        <f>'گزارش عملکرد ۳ ماهه'!E15</f>
        <v/>
      </c>
      <c r="O44" s="7">
        <f>IFERROR(N44/M44, 0)</f>
        <v/>
      </c>
      <c r="P44" s="6">
        <f>'پایگاه داده حد انتظار ۳ ماهه'!G15</f>
        <v/>
      </c>
      <c r="Q44" s="6">
        <f>'گزارش عملکرد ۳ ماهه'!F15</f>
        <v/>
      </c>
      <c r="R44" s="7">
        <f>IFERROR(Q44/P44, 0)</f>
        <v/>
      </c>
      <c r="S44" s="8">
        <f>(MIN(0.4, 0.1*F44 + 0.3*I44) + MIN(0.5, 0.5*L44 + MAX(0, 0.1*F44 + 0.3*I44 - 0.4)) + MIN(0.1, 0.1*O44))</f>
        <v/>
      </c>
      <c r="T44" s="9">
        <f>ROUND(70 + 30 * (MIN(0.4, 0.1*F44 + 0.3*I44) + MIN(0.5, 0.5*L44 + MAX(0, 0.1*F44 + 0.3*I44 - 0.4)) + MIN(0.1, 0.1*O44)), 1)</f>
        <v/>
      </c>
      <c r="U44" s="10">
        <f>IF(T44&gt;70, RANK(T44, $T$31:$T$62), "-")</f>
        <v/>
      </c>
      <c r="V44" s="10">
        <f>IF(T44&lt;=70, "ضعیف", IF(T44&gt;=90, "عالی", "متوسط"))</f>
        <v/>
      </c>
    </row>
    <row r="45">
      <c r="A45" s="4" t="n">
        <v>15</v>
      </c>
      <c r="B45" s="5">
        <f>'پایگاه داده حد انتظار ۳ ماهه'!A16</f>
        <v/>
      </c>
      <c r="C45" s="4">
        <f>'پایگاه داده حد انتظار ۳ ماهه'!B16</f>
        <v/>
      </c>
      <c r="D45" s="6">
        <f>'پایگاه داده حد انتظار ۳ ماهه'!C16</f>
        <v/>
      </c>
      <c r="E45" s="6">
        <f>'گزارش عملکرد ۳ ماهه'!B16</f>
        <v/>
      </c>
      <c r="F45" s="7">
        <f>IFERROR(E45/D45, 0)</f>
        <v/>
      </c>
      <c r="G45" s="6">
        <f>'پایگاه داده حد انتظار ۳ ماهه'!D16</f>
        <v/>
      </c>
      <c r="H45" s="6">
        <f>'گزارش عملکرد ۳ ماهه'!C16</f>
        <v/>
      </c>
      <c r="I45" s="7">
        <f>IFERROR(H45/G45, 0)</f>
        <v/>
      </c>
      <c r="J45" s="6">
        <f>'پایگاه داده حد انتظار ۳ ماهه'!E16</f>
        <v/>
      </c>
      <c r="K45" s="6">
        <f>'گزارش عملکرد ۳ ماهه'!D16</f>
        <v/>
      </c>
      <c r="L45" s="7">
        <f>IFERROR(K45/J45, 0)</f>
        <v/>
      </c>
      <c r="M45" s="6">
        <f>'پایگاه داده حد انتظار ۳ ماهه'!F16</f>
        <v/>
      </c>
      <c r="N45" s="6">
        <f>'گزارش عملکرد ۳ ماهه'!E16</f>
        <v/>
      </c>
      <c r="O45" s="7">
        <f>IFERROR(N45/M45, 0)</f>
        <v/>
      </c>
      <c r="P45" s="6">
        <f>'پایگاه داده حد انتظار ۳ ماهه'!G16</f>
        <v/>
      </c>
      <c r="Q45" s="6">
        <f>'گزارش عملکرد ۳ ماهه'!F16</f>
        <v/>
      </c>
      <c r="R45" s="7">
        <f>IFERROR(Q45/P45, 0)</f>
        <v/>
      </c>
      <c r="S45" s="8">
        <f>(MIN(0.4, 0.1*F45 + 0.3*I45) + MIN(0.5, 0.5*L45 + MAX(0, 0.1*F45 + 0.3*I45 - 0.4)) + MIN(0.1, 0.1*O45))</f>
        <v/>
      </c>
      <c r="T45" s="9">
        <f>ROUND(70 + 30 * (MIN(0.4, 0.1*F45 + 0.3*I45) + MIN(0.5, 0.5*L45 + MAX(0, 0.1*F45 + 0.3*I45 - 0.4)) + MIN(0.1, 0.1*O45)), 1)</f>
        <v/>
      </c>
      <c r="U45" s="10">
        <f>IF(T45&gt;70, RANK(T45, $T$31:$T$62), "-")</f>
        <v/>
      </c>
      <c r="V45" s="10">
        <f>IF(T45&lt;=70, "ضعیف", IF(T45&gt;=90, "عالی", "متوسط"))</f>
        <v/>
      </c>
    </row>
    <row r="46">
      <c r="A46" s="4" t="n">
        <v>16</v>
      </c>
      <c r="B46" s="5">
        <f>'پایگاه داده حد انتظار ۳ ماهه'!A17</f>
        <v/>
      </c>
      <c r="C46" s="4">
        <f>'پایگاه داده حد انتظار ۳ ماهه'!B17</f>
        <v/>
      </c>
      <c r="D46" s="6">
        <f>'پایگاه داده حد انتظار ۳ ماهه'!C17</f>
        <v/>
      </c>
      <c r="E46" s="6">
        <f>'گزارش عملکرد ۳ ماهه'!B17</f>
        <v/>
      </c>
      <c r="F46" s="7">
        <f>IFERROR(E46/D46, 0)</f>
        <v/>
      </c>
      <c r="G46" s="6">
        <f>'پایگاه داده حد انتظار ۳ ماهه'!D17</f>
        <v/>
      </c>
      <c r="H46" s="6">
        <f>'گزارش عملکرد ۳ ماهه'!C17</f>
        <v/>
      </c>
      <c r="I46" s="7">
        <f>IFERROR(H46/G46, 0)</f>
        <v/>
      </c>
      <c r="J46" s="6">
        <f>'پایگاه داده حد انتظار ۳ ماهه'!E17</f>
        <v/>
      </c>
      <c r="K46" s="6">
        <f>'گزارش عملکرد ۳ ماهه'!D17</f>
        <v/>
      </c>
      <c r="L46" s="7">
        <f>IFERROR(K46/J46, 0)</f>
        <v/>
      </c>
      <c r="M46" s="6">
        <f>'پایگاه داده حد انتظار ۳ ماهه'!F17</f>
        <v/>
      </c>
      <c r="N46" s="6">
        <f>'گزارش عملکرد ۳ ماهه'!E17</f>
        <v/>
      </c>
      <c r="O46" s="7">
        <f>IFERROR(N46/M46, 0)</f>
        <v/>
      </c>
      <c r="P46" s="6">
        <f>'پایگاه داده حد انتظار ۳ ماهه'!G17</f>
        <v/>
      </c>
      <c r="Q46" s="6">
        <f>'گزارش عملکرد ۳ ماهه'!F17</f>
        <v/>
      </c>
      <c r="R46" s="7">
        <f>IFERROR(Q46/P46, 0)</f>
        <v/>
      </c>
      <c r="S46" s="8">
        <f>(MIN(0.4, 0.1*F46 + 0.3*I46) + MIN(0.5, 0.5*L46 + MAX(0, 0.1*F46 + 0.3*I46 - 0.4)) + MIN(0.1, 0.1*O46))</f>
        <v/>
      </c>
      <c r="T46" s="9">
        <f>ROUND(70 + 30 * (MIN(0.4, 0.1*F46 + 0.3*I46) + MIN(0.5, 0.5*L46 + MAX(0, 0.1*F46 + 0.3*I46 - 0.4)) + MIN(0.1, 0.1*O46)), 1)</f>
        <v/>
      </c>
      <c r="U46" s="10">
        <f>IF(T46&gt;70, RANK(T46, $T$31:$T$62), "-")</f>
        <v/>
      </c>
      <c r="V46" s="10">
        <f>IF(T46&lt;=70, "ضعیف", IF(T46&gt;=90, "عالی", "متوسط"))</f>
        <v/>
      </c>
    </row>
    <row r="47">
      <c r="A47" s="4" t="n">
        <v>17</v>
      </c>
      <c r="B47" s="5">
        <f>'پایگاه داده حد انتظار ۳ ماهه'!A18</f>
        <v/>
      </c>
      <c r="C47" s="4">
        <f>'پایگاه داده حد انتظار ۳ ماهه'!B18</f>
        <v/>
      </c>
      <c r="D47" s="6">
        <f>'پایگاه داده حد انتظار ۳ ماهه'!C18</f>
        <v/>
      </c>
      <c r="E47" s="6">
        <f>'گزارش عملکرد ۳ ماهه'!B18</f>
        <v/>
      </c>
      <c r="F47" s="7">
        <f>IFERROR(E47/D47, 0)</f>
        <v/>
      </c>
      <c r="G47" s="6">
        <f>'پایگاه داده حد انتظار ۳ ماهه'!D18</f>
        <v/>
      </c>
      <c r="H47" s="6">
        <f>'گزارش عملکرد ۳ ماهه'!C18</f>
        <v/>
      </c>
      <c r="I47" s="7">
        <f>IFERROR(H47/G47, 0)</f>
        <v/>
      </c>
      <c r="J47" s="6">
        <f>'پایگاه داده حد انتظار ۳ ماهه'!E18</f>
        <v/>
      </c>
      <c r="K47" s="6">
        <f>'گزارش عملکرد ۳ ماهه'!D18</f>
        <v/>
      </c>
      <c r="L47" s="7">
        <f>IFERROR(K47/J47, 0)</f>
        <v/>
      </c>
      <c r="M47" s="6">
        <f>'پایگاه داده حد انتظار ۳ ماهه'!F18</f>
        <v/>
      </c>
      <c r="N47" s="6">
        <f>'گزارش عملکرد ۳ ماهه'!E18</f>
        <v/>
      </c>
      <c r="O47" s="7">
        <f>IFERROR(N47/M47, 0)</f>
        <v/>
      </c>
      <c r="P47" s="6">
        <f>'پایگاه داده حد انتظار ۳ ماهه'!G18</f>
        <v/>
      </c>
      <c r="Q47" s="6">
        <f>'گزارش عملکرد ۳ ماهه'!F18</f>
        <v/>
      </c>
      <c r="R47" s="7">
        <f>IFERROR(Q47/P47, 0)</f>
        <v/>
      </c>
      <c r="S47" s="8">
        <f>(MIN(0.4, 0.1*F47 + 0.3*I47) + MIN(0.5, 0.5*L47 + MAX(0, 0.1*F47 + 0.3*I47 - 0.4)) + MIN(0.1, 0.1*O47))</f>
        <v/>
      </c>
      <c r="T47" s="9">
        <f>ROUND(70 + 30 * (MIN(0.4, 0.1*F47 + 0.3*I47) + MIN(0.5, 0.5*L47 + MAX(0, 0.1*F47 + 0.3*I47 - 0.4)) + MIN(0.1, 0.1*O47)), 1)</f>
        <v/>
      </c>
      <c r="U47" s="10">
        <f>IF(T47&gt;70, RANK(T47, $T$31:$T$62), "-")</f>
        <v/>
      </c>
      <c r="V47" s="10">
        <f>IF(T47&lt;=70, "ضعیف", IF(T47&gt;=90, "عالی", "متوسط"))</f>
        <v/>
      </c>
    </row>
    <row r="48">
      <c r="A48" s="4" t="n">
        <v>18</v>
      </c>
      <c r="B48" s="5">
        <f>'پایگاه داده حد انتظار ۳ ماهه'!A19</f>
        <v/>
      </c>
      <c r="C48" s="4">
        <f>'پایگاه داده حد انتظار ۳ ماهه'!B19</f>
        <v/>
      </c>
      <c r="D48" s="6">
        <f>'پایگاه داده حد انتظار ۳ ماهه'!C19</f>
        <v/>
      </c>
      <c r="E48" s="6">
        <f>'گزارش عملکرد ۳ ماهه'!B19</f>
        <v/>
      </c>
      <c r="F48" s="7">
        <f>IFERROR(E48/D48, 0)</f>
        <v/>
      </c>
      <c r="G48" s="6">
        <f>'پایگاه داده حد انتظار ۳ ماهه'!D19</f>
        <v/>
      </c>
      <c r="H48" s="6">
        <f>'گزارش عملکرد ۳ ماهه'!C19</f>
        <v/>
      </c>
      <c r="I48" s="7">
        <f>IFERROR(H48/G48, 0)</f>
        <v/>
      </c>
      <c r="J48" s="6">
        <f>'پایگاه داده حد انتظار ۳ ماهه'!E19</f>
        <v/>
      </c>
      <c r="K48" s="6">
        <f>'گزارش عملکرد ۳ ماهه'!D19</f>
        <v/>
      </c>
      <c r="L48" s="7">
        <f>IFERROR(K48/J48, 0)</f>
        <v/>
      </c>
      <c r="M48" s="6">
        <f>'پایگاه داده حد انتظار ۳ ماهه'!F19</f>
        <v/>
      </c>
      <c r="N48" s="6">
        <f>'گزارش عملکرد ۳ ماهه'!E19</f>
        <v/>
      </c>
      <c r="O48" s="7">
        <f>IFERROR(N48/M48, 0)</f>
        <v/>
      </c>
      <c r="P48" s="6">
        <f>'پایگاه داده حد انتظار ۳ ماهه'!G19</f>
        <v/>
      </c>
      <c r="Q48" s="6">
        <f>'گزارش عملکرد ۳ ماهه'!F19</f>
        <v/>
      </c>
      <c r="R48" s="7">
        <f>IFERROR(Q48/P48, 0)</f>
        <v/>
      </c>
      <c r="S48" s="8">
        <f>(MIN(0.4, 0.1*F48 + 0.3*I48) + MIN(0.5, 0.5*L48 + MAX(0, 0.1*F48 + 0.3*I48 - 0.4)) + MIN(0.1, 0.1*O48))</f>
        <v/>
      </c>
      <c r="T48" s="9">
        <f>ROUND(70 + 30 * (MIN(0.4, 0.1*F48 + 0.3*I48) + MIN(0.5, 0.5*L48 + MAX(0, 0.1*F48 + 0.3*I48 - 0.4)) + MIN(0.1, 0.1*O48)), 1)</f>
        <v/>
      </c>
      <c r="U48" s="10">
        <f>IF(T48&gt;70, RANK(T48, $T$31:$T$62), "-")</f>
        <v/>
      </c>
      <c r="V48" s="10">
        <f>IF(T48&lt;=70, "ضعیف", IF(T48&gt;=90, "عالی", "متوسط"))</f>
        <v/>
      </c>
    </row>
    <row r="49">
      <c r="A49" s="4" t="n">
        <v>19</v>
      </c>
      <c r="B49" s="5">
        <f>'پایگاه داده حد انتظار ۳ ماهه'!A20</f>
        <v/>
      </c>
      <c r="C49" s="4">
        <f>'پایگاه داده حد انتظار ۳ ماهه'!B20</f>
        <v/>
      </c>
      <c r="D49" s="6">
        <f>'پایگاه داده حد انتظار ۳ ماهه'!C20</f>
        <v/>
      </c>
      <c r="E49" s="6">
        <f>'گزارش عملکرد ۳ ماهه'!B20</f>
        <v/>
      </c>
      <c r="F49" s="7">
        <f>IFERROR(E49/D49, 0)</f>
        <v/>
      </c>
      <c r="G49" s="6">
        <f>'پایگاه داده حد انتظار ۳ ماهه'!D20</f>
        <v/>
      </c>
      <c r="H49" s="6">
        <f>'گزارش عملکرد ۳ ماهه'!C20</f>
        <v/>
      </c>
      <c r="I49" s="7">
        <f>IFERROR(H49/G49, 0)</f>
        <v/>
      </c>
      <c r="J49" s="6">
        <f>'پایگاه داده حد انتظار ۳ ماهه'!E20</f>
        <v/>
      </c>
      <c r="K49" s="6">
        <f>'گزارش عملکرد ۳ ماهه'!D20</f>
        <v/>
      </c>
      <c r="L49" s="7">
        <f>IFERROR(K49/J49, 0)</f>
        <v/>
      </c>
      <c r="M49" s="6">
        <f>'پایگاه داده حد انتظار ۳ ماهه'!F20</f>
        <v/>
      </c>
      <c r="N49" s="6">
        <f>'گزارش عملکرد ۳ ماهه'!E20</f>
        <v/>
      </c>
      <c r="O49" s="7">
        <f>IFERROR(N49/M49, 0)</f>
        <v/>
      </c>
      <c r="P49" s="6">
        <f>'پایگاه داده حد انتظار ۳ ماهه'!G20</f>
        <v/>
      </c>
      <c r="Q49" s="6">
        <f>'گزارش عملکرد ۳ ماهه'!F20</f>
        <v/>
      </c>
      <c r="R49" s="7">
        <f>IFERROR(Q49/P49, 0)</f>
        <v/>
      </c>
      <c r="S49" s="8">
        <f>(MIN(0.4, 0.1*F49 + 0.3*I49) + MIN(0.5, 0.5*L49 + MAX(0, 0.1*F49 + 0.3*I49 - 0.4)) + MIN(0.1, 0.1*O49))</f>
        <v/>
      </c>
      <c r="T49" s="9">
        <f>ROUND(70 + 30 * (MIN(0.4, 0.1*F49 + 0.3*I49) + MIN(0.5, 0.5*L49 + MAX(0, 0.1*F49 + 0.3*I49 - 0.4)) + MIN(0.1, 0.1*O49)), 1)</f>
        <v/>
      </c>
      <c r="U49" s="10">
        <f>IF(T49&gt;70, RANK(T49, $T$31:$T$62), "-")</f>
        <v/>
      </c>
      <c r="V49" s="10">
        <f>IF(T49&lt;=70, "ضعیف", IF(T49&gt;=90, "عالی", "متوسط"))</f>
        <v/>
      </c>
    </row>
    <row r="50">
      <c r="A50" s="4" t="n">
        <v>20</v>
      </c>
      <c r="B50" s="5">
        <f>'پایگاه داده حد انتظار ۳ ماهه'!A21</f>
        <v/>
      </c>
      <c r="C50" s="4">
        <f>'پایگاه داده حد انتظار ۳ ماهه'!B21</f>
        <v/>
      </c>
      <c r="D50" s="6">
        <f>'پایگاه داده حد انتظار ۳ ماهه'!C21</f>
        <v/>
      </c>
      <c r="E50" s="6">
        <f>'گزارش عملکرد ۳ ماهه'!B21</f>
        <v/>
      </c>
      <c r="F50" s="7">
        <f>IFERROR(E50/D50, 0)</f>
        <v/>
      </c>
      <c r="G50" s="6">
        <f>'پایگاه داده حد انتظار ۳ ماهه'!D21</f>
        <v/>
      </c>
      <c r="H50" s="6">
        <f>'گزارش عملکرد ۳ ماهه'!C21</f>
        <v/>
      </c>
      <c r="I50" s="7">
        <f>IFERROR(H50/G50, 0)</f>
        <v/>
      </c>
      <c r="J50" s="6">
        <f>'پایگاه داده حد انتظار ۳ ماهه'!E21</f>
        <v/>
      </c>
      <c r="K50" s="6">
        <f>'گزارش عملکرد ۳ ماهه'!D21</f>
        <v/>
      </c>
      <c r="L50" s="7">
        <f>IFERROR(K50/J50, 0)</f>
        <v/>
      </c>
      <c r="M50" s="6">
        <f>'پایگاه داده حد انتظار ۳ ماهه'!F21</f>
        <v/>
      </c>
      <c r="N50" s="6">
        <f>'گزارش عملکرد ۳ ماهه'!E21</f>
        <v/>
      </c>
      <c r="O50" s="7">
        <f>IFERROR(N50/M50, 0)</f>
        <v/>
      </c>
      <c r="P50" s="6">
        <f>'پایگاه داده حد انتظار ۳ ماهه'!G21</f>
        <v/>
      </c>
      <c r="Q50" s="6">
        <f>'گزارش عملکرد ۳ ماهه'!F21</f>
        <v/>
      </c>
      <c r="R50" s="7">
        <f>IFERROR(Q50/P50, 0)</f>
        <v/>
      </c>
      <c r="S50" s="8">
        <f>(MIN(0.4, 0.1*F50 + 0.3*I50) + MIN(0.5, 0.5*L50 + MAX(0, 0.1*F50 + 0.3*I50 - 0.4)) + MIN(0.1, 0.1*O50))</f>
        <v/>
      </c>
      <c r="T50" s="9">
        <f>ROUND(70 + 30 * (MIN(0.4, 0.1*F50 + 0.3*I50) + MIN(0.5, 0.5*L50 + MAX(0, 0.1*F50 + 0.3*I50 - 0.4)) + MIN(0.1, 0.1*O50)), 1)</f>
        <v/>
      </c>
      <c r="U50" s="10">
        <f>IF(T50&gt;70, RANK(T50, $T$31:$T$62), "-")</f>
        <v/>
      </c>
      <c r="V50" s="10">
        <f>IF(T50&lt;=70, "ضعیف", IF(T50&gt;=90, "عالی", "متوسط"))</f>
        <v/>
      </c>
    </row>
    <row r="51">
      <c r="A51" s="4" t="n">
        <v>21</v>
      </c>
      <c r="B51" s="5">
        <f>'پایگاه داده حد انتظار ۳ ماهه'!A22</f>
        <v/>
      </c>
      <c r="C51" s="4">
        <f>'پایگاه داده حد انتظار ۳ ماهه'!B22</f>
        <v/>
      </c>
      <c r="D51" s="6">
        <f>'پایگاه داده حد انتظار ۳ ماهه'!C22</f>
        <v/>
      </c>
      <c r="E51" s="6">
        <f>'گزارش عملکرد ۳ ماهه'!B22</f>
        <v/>
      </c>
      <c r="F51" s="7">
        <f>IFERROR(E51/D51, 0)</f>
        <v/>
      </c>
      <c r="G51" s="6">
        <f>'پایگاه داده حد انتظار ۳ ماهه'!D22</f>
        <v/>
      </c>
      <c r="H51" s="6">
        <f>'گزارش عملکرد ۳ ماهه'!C22</f>
        <v/>
      </c>
      <c r="I51" s="7">
        <f>IFERROR(H51/G51, 0)</f>
        <v/>
      </c>
      <c r="J51" s="6">
        <f>'پایگاه داده حد انتظار ۳ ماهه'!E22</f>
        <v/>
      </c>
      <c r="K51" s="6">
        <f>'گزارش عملکرد ۳ ماهه'!D22</f>
        <v/>
      </c>
      <c r="L51" s="7">
        <f>IFERROR(K51/J51, 0)</f>
        <v/>
      </c>
      <c r="M51" s="6">
        <f>'پایگاه داده حد انتظار ۳ ماهه'!F22</f>
        <v/>
      </c>
      <c r="N51" s="6">
        <f>'گزارش عملکرد ۳ ماهه'!E22</f>
        <v/>
      </c>
      <c r="O51" s="7">
        <f>IFERROR(N51/M51, 0)</f>
        <v/>
      </c>
      <c r="P51" s="6">
        <f>'پایگاه داده حد انتظار ۳ ماهه'!G22</f>
        <v/>
      </c>
      <c r="Q51" s="6">
        <f>'گزارش عملکرد ۳ ماهه'!F22</f>
        <v/>
      </c>
      <c r="R51" s="7">
        <f>IFERROR(Q51/P51, 0)</f>
        <v/>
      </c>
      <c r="S51" s="8">
        <f>(MIN(0.4, 0.1*F51 + 0.3*I51) + MIN(0.5, 0.5*L51 + MAX(0, 0.1*F51 + 0.3*I51 - 0.4)) + MIN(0.1, 0.1*O51))</f>
        <v/>
      </c>
      <c r="T51" s="9">
        <f>ROUND(70 + 30 * (MIN(0.4, 0.1*F51 + 0.3*I51) + MIN(0.5, 0.5*L51 + MAX(0, 0.1*F51 + 0.3*I51 - 0.4)) + MIN(0.1, 0.1*O51)), 1)</f>
        <v/>
      </c>
      <c r="U51" s="10">
        <f>IF(T51&gt;70, RANK(T51, $T$31:$T$62), "-")</f>
        <v/>
      </c>
      <c r="V51" s="10">
        <f>IF(T51&lt;=70, "ضعیف", IF(T51&gt;=90, "عالی", "متوسط"))</f>
        <v/>
      </c>
    </row>
    <row r="52">
      <c r="A52" s="4" t="n">
        <v>22</v>
      </c>
      <c r="B52" s="5">
        <f>'پایگاه داده حد انتظار ۳ ماهه'!A23</f>
        <v/>
      </c>
      <c r="C52" s="4">
        <f>'پایگاه داده حد انتظار ۳ ماهه'!B23</f>
        <v/>
      </c>
      <c r="D52" s="6">
        <f>'پایگاه داده حد انتظار ۳ ماهه'!C23</f>
        <v/>
      </c>
      <c r="E52" s="6">
        <f>'گزارش عملکرد ۳ ماهه'!B23</f>
        <v/>
      </c>
      <c r="F52" s="7">
        <f>IFERROR(E52/D52, 0)</f>
        <v/>
      </c>
      <c r="G52" s="6">
        <f>'پایگاه داده حد انتظار ۳ ماهه'!D23</f>
        <v/>
      </c>
      <c r="H52" s="6">
        <f>'گزارش عملکرد ۳ ماهه'!C23</f>
        <v/>
      </c>
      <c r="I52" s="7">
        <f>IFERROR(H52/G52, 0)</f>
        <v/>
      </c>
      <c r="J52" s="6">
        <f>'پایگاه داده حد انتظار ۳ ماهه'!E23</f>
        <v/>
      </c>
      <c r="K52" s="6">
        <f>'گزارش عملکرد ۳ ماهه'!D23</f>
        <v/>
      </c>
      <c r="L52" s="7">
        <f>IFERROR(K52/J52, 0)</f>
        <v/>
      </c>
      <c r="M52" s="6">
        <f>'پایگاه داده حد انتظار ۳ ماهه'!F23</f>
        <v/>
      </c>
      <c r="N52" s="6">
        <f>'گزارش عملکرد ۳ ماهه'!E23</f>
        <v/>
      </c>
      <c r="O52" s="7">
        <f>IFERROR(N52/M52, 0)</f>
        <v/>
      </c>
      <c r="P52" s="6">
        <f>'پایگاه داده حد انتظار ۳ ماهه'!G23</f>
        <v/>
      </c>
      <c r="Q52" s="6">
        <f>'گزارش عملکرد ۳ ماهه'!F23</f>
        <v/>
      </c>
      <c r="R52" s="7">
        <f>IFERROR(Q52/P52, 0)</f>
        <v/>
      </c>
      <c r="S52" s="8">
        <f>(MIN(0.4, 0.1*F52 + 0.3*I52) + MIN(0.5, 0.5*L52 + MAX(0, 0.1*F52 + 0.3*I52 - 0.4)) + MIN(0.1, 0.1*O52))</f>
        <v/>
      </c>
      <c r="T52" s="9">
        <f>ROUND(70 + 30 * (MIN(0.4, 0.1*F52 + 0.3*I52) + MIN(0.5, 0.5*L52 + MAX(0, 0.1*F52 + 0.3*I52 - 0.4)) + MIN(0.1, 0.1*O52)), 1)</f>
        <v/>
      </c>
      <c r="U52" s="10">
        <f>IF(T52&gt;70, RANK(T52, $T$31:$T$62), "-")</f>
        <v/>
      </c>
      <c r="V52" s="10">
        <f>IF(T52&lt;=70, "ضعیف", IF(T52&gt;=90, "عالی", "متوسط"))</f>
        <v/>
      </c>
    </row>
    <row r="53">
      <c r="A53" s="4" t="n">
        <v>23</v>
      </c>
      <c r="B53" s="5">
        <f>'پایگاه داده حد انتظار ۳ ماهه'!A24</f>
        <v/>
      </c>
      <c r="C53" s="4">
        <f>'پایگاه داده حد انتظار ۳ ماهه'!B24</f>
        <v/>
      </c>
      <c r="D53" s="6">
        <f>'پایگاه داده حد انتظار ۳ ماهه'!C24</f>
        <v/>
      </c>
      <c r="E53" s="6">
        <f>'گزارش عملکرد ۳ ماهه'!B24</f>
        <v/>
      </c>
      <c r="F53" s="7">
        <f>IFERROR(E53/D53, 0)</f>
        <v/>
      </c>
      <c r="G53" s="6">
        <f>'پایگاه داده حد انتظار ۳ ماهه'!D24</f>
        <v/>
      </c>
      <c r="H53" s="6">
        <f>'گزارش عملکرد ۳ ماهه'!C24</f>
        <v/>
      </c>
      <c r="I53" s="7">
        <f>IFERROR(H53/G53, 0)</f>
        <v/>
      </c>
      <c r="J53" s="6">
        <f>'پایگاه داده حد انتظار ۳ ماهه'!E24</f>
        <v/>
      </c>
      <c r="K53" s="6">
        <f>'گزارش عملکرد ۳ ماهه'!D24</f>
        <v/>
      </c>
      <c r="L53" s="7">
        <f>IFERROR(K53/J53, 0)</f>
        <v/>
      </c>
      <c r="M53" s="6">
        <f>'پایگاه داده حد انتظار ۳ ماهه'!F24</f>
        <v/>
      </c>
      <c r="N53" s="6">
        <f>'گزارش عملکرد ۳ ماهه'!E24</f>
        <v/>
      </c>
      <c r="O53" s="7">
        <f>IFERROR(N53/M53, 0)</f>
        <v/>
      </c>
      <c r="P53" s="6">
        <f>'پایگاه داده حد انتظار ۳ ماهه'!G24</f>
        <v/>
      </c>
      <c r="Q53" s="6">
        <f>'گزارش عملکرد ۳ ماهه'!F24</f>
        <v/>
      </c>
      <c r="R53" s="7">
        <f>IFERROR(Q53/P53, 0)</f>
        <v/>
      </c>
      <c r="S53" s="8">
        <f>(MIN(0.4, 0.1*F53 + 0.3*I53) + MIN(0.5, 0.5*L53 + MAX(0, 0.1*F53 + 0.3*I53 - 0.4)) + MIN(0.1, 0.1*O53))</f>
        <v/>
      </c>
      <c r="T53" s="9">
        <f>ROUND(70 + 30 * (MIN(0.4, 0.1*F53 + 0.3*I53) + MIN(0.5, 0.5*L53 + MAX(0, 0.1*F53 + 0.3*I53 - 0.4)) + MIN(0.1, 0.1*O53)), 1)</f>
        <v/>
      </c>
      <c r="U53" s="10">
        <f>IF(T53&gt;70, RANK(T53, $T$31:$T$62), "-")</f>
        <v/>
      </c>
      <c r="V53" s="10">
        <f>IF(T53&lt;=70, "ضعیف", IF(T53&gt;=90, "عالی", "متوسط"))</f>
        <v/>
      </c>
    </row>
    <row r="54">
      <c r="A54" s="4" t="n">
        <v>24</v>
      </c>
      <c r="B54" s="5">
        <f>'پایگاه داده حد انتظار ۳ ماهه'!A25</f>
        <v/>
      </c>
      <c r="C54" s="4">
        <f>'پایگاه داده حد انتظار ۳ ماهه'!B25</f>
        <v/>
      </c>
      <c r="D54" s="6">
        <f>'پایگاه داده حد انتظار ۳ ماهه'!C25</f>
        <v/>
      </c>
      <c r="E54" s="6">
        <f>'گزارش عملکرد ۳ ماهه'!B25</f>
        <v/>
      </c>
      <c r="F54" s="7">
        <f>IFERROR(E54/D54, 0)</f>
        <v/>
      </c>
      <c r="G54" s="6">
        <f>'پایگاه داده حد انتظار ۳ ماهه'!D25</f>
        <v/>
      </c>
      <c r="H54" s="6">
        <f>'گزارش عملکرد ۳ ماهه'!C25</f>
        <v/>
      </c>
      <c r="I54" s="7">
        <f>IFERROR(H54/G54, 0)</f>
        <v/>
      </c>
      <c r="J54" s="6">
        <f>'پایگاه داده حد انتظار ۳ ماهه'!E25</f>
        <v/>
      </c>
      <c r="K54" s="6">
        <f>'گزارش عملکرد ۳ ماهه'!D25</f>
        <v/>
      </c>
      <c r="L54" s="7">
        <f>IFERROR(K54/J54, 0)</f>
        <v/>
      </c>
      <c r="M54" s="6">
        <f>'پایگاه داده حد انتظار ۳ ماهه'!F25</f>
        <v/>
      </c>
      <c r="N54" s="6">
        <f>'گزارش عملکرد ۳ ماهه'!E25</f>
        <v/>
      </c>
      <c r="O54" s="7">
        <f>IFERROR(N54/M54, 0)</f>
        <v/>
      </c>
      <c r="P54" s="6">
        <f>'پایگاه داده حد انتظار ۳ ماهه'!G25</f>
        <v/>
      </c>
      <c r="Q54" s="6">
        <f>'گزارش عملکرد ۳ ماهه'!F25</f>
        <v/>
      </c>
      <c r="R54" s="7">
        <f>IFERROR(Q54/P54, 0)</f>
        <v/>
      </c>
      <c r="S54" s="8">
        <f>(MIN(0.4, 0.1*F54 + 0.3*I54) + MIN(0.5, 0.5*L54 + MAX(0, 0.1*F54 + 0.3*I54 - 0.4)) + MIN(0.1, 0.1*O54))</f>
        <v/>
      </c>
      <c r="T54" s="9">
        <f>ROUND(70 + 30 * (MIN(0.4, 0.1*F54 + 0.3*I54) + MIN(0.5, 0.5*L54 + MAX(0, 0.1*F54 + 0.3*I54 - 0.4)) + MIN(0.1, 0.1*O54)), 1)</f>
        <v/>
      </c>
      <c r="U54" s="10">
        <f>IF(T54&gt;70, RANK(T54, $T$31:$T$62), "-")</f>
        <v/>
      </c>
      <c r="V54" s="10">
        <f>IF(T54&lt;=70, "ضعیف", IF(T54&gt;=90, "عالی", "متوسط"))</f>
        <v/>
      </c>
    </row>
    <row r="55">
      <c r="A55" s="4" t="n">
        <v>25</v>
      </c>
      <c r="B55" s="5">
        <f>'پایگاه داده حد انتظار ۳ ماهه'!A26</f>
        <v/>
      </c>
      <c r="C55" s="4">
        <f>'پایگاه داده حد انتظار ۳ ماهه'!B26</f>
        <v/>
      </c>
      <c r="D55" s="6">
        <f>'پایگاه داده حد انتظار ۳ ماهه'!C26</f>
        <v/>
      </c>
      <c r="E55" s="6">
        <f>'گزارش عملکرد ۳ ماهه'!B26</f>
        <v/>
      </c>
      <c r="F55" s="7">
        <f>IFERROR(E55/D55, 0)</f>
        <v/>
      </c>
      <c r="G55" s="6">
        <f>'پایگاه داده حد انتظار ۳ ماهه'!D26</f>
        <v/>
      </c>
      <c r="H55" s="6">
        <f>'گزارش عملکرد ۳ ماهه'!C26</f>
        <v/>
      </c>
      <c r="I55" s="7">
        <f>IFERROR(H55/G55, 0)</f>
        <v/>
      </c>
      <c r="J55" s="6">
        <f>'پایگاه داده حد انتظار ۳ ماهه'!E26</f>
        <v/>
      </c>
      <c r="K55" s="6">
        <f>'گزارش عملکرد ۳ ماهه'!D26</f>
        <v/>
      </c>
      <c r="L55" s="7">
        <f>IFERROR(K55/J55, 0)</f>
        <v/>
      </c>
      <c r="M55" s="6">
        <f>'پایگاه داده حد انتظار ۳ ماهه'!F26</f>
        <v/>
      </c>
      <c r="N55" s="6">
        <f>'گزارش عملکرد ۳ ماهه'!E26</f>
        <v/>
      </c>
      <c r="O55" s="7">
        <f>IFERROR(N55/M55, 0)</f>
        <v/>
      </c>
      <c r="P55" s="6">
        <f>'پایگاه داده حد انتظار ۳ ماهه'!G26</f>
        <v/>
      </c>
      <c r="Q55" s="6">
        <f>'گزارش عملکرد ۳ ماهه'!F26</f>
        <v/>
      </c>
      <c r="R55" s="7">
        <f>IFERROR(Q55/P55, 0)</f>
        <v/>
      </c>
      <c r="S55" s="8">
        <f>(MIN(0.4, 0.1*F55 + 0.3*I55) + MIN(0.5, 0.5*L55 + MAX(0, 0.1*F55 + 0.3*I55 - 0.4)) + MIN(0.1, 0.1*O55))</f>
        <v/>
      </c>
      <c r="T55" s="9">
        <f>ROUND(70 + 30 * (MIN(0.4, 0.1*F55 + 0.3*I55) + MIN(0.5, 0.5*L55 + MAX(0, 0.1*F55 + 0.3*I55 - 0.4)) + MIN(0.1, 0.1*O55)), 1)</f>
        <v/>
      </c>
      <c r="U55" s="10">
        <f>IF(T55&gt;70, RANK(T55, $T$31:$T$62), "-")</f>
        <v/>
      </c>
      <c r="V55" s="10">
        <f>IF(T55&lt;=70, "ضعیف", IF(T55&gt;=90, "عالی", "متوسط"))</f>
        <v/>
      </c>
    </row>
    <row r="56">
      <c r="A56" s="4" t="n">
        <v>26</v>
      </c>
      <c r="B56" s="5">
        <f>'پایگاه داده حد انتظار ۳ ماهه'!A27</f>
        <v/>
      </c>
      <c r="C56" s="4">
        <f>'پایگاه داده حد انتظار ۳ ماهه'!B27</f>
        <v/>
      </c>
      <c r="D56" s="6">
        <f>'پایگاه داده حد انتظار ۳ ماهه'!C27</f>
        <v/>
      </c>
      <c r="E56" s="6">
        <f>'گزارش عملکرد ۳ ماهه'!B27</f>
        <v/>
      </c>
      <c r="F56" s="7">
        <f>IFERROR(E56/D56, 0)</f>
        <v/>
      </c>
      <c r="G56" s="6">
        <f>'پایگاه داده حد انتظار ۳ ماهه'!D27</f>
        <v/>
      </c>
      <c r="H56" s="6">
        <f>'گزارش عملکرد ۳ ماهه'!C27</f>
        <v/>
      </c>
      <c r="I56" s="7">
        <f>IFERROR(H56/G56, 0)</f>
        <v/>
      </c>
      <c r="J56" s="6">
        <f>'پایگاه داده حد انتظار ۳ ماهه'!E27</f>
        <v/>
      </c>
      <c r="K56" s="6">
        <f>'گزارش عملکرد ۳ ماهه'!D27</f>
        <v/>
      </c>
      <c r="L56" s="7">
        <f>IFERROR(K56/J56, 0)</f>
        <v/>
      </c>
      <c r="M56" s="6">
        <f>'پایگاه داده حد انتظار ۳ ماهه'!F27</f>
        <v/>
      </c>
      <c r="N56" s="6">
        <f>'گزارش عملکرد ۳ ماهه'!E27</f>
        <v/>
      </c>
      <c r="O56" s="7">
        <f>IFERROR(N56/M56, 0)</f>
        <v/>
      </c>
      <c r="P56" s="6">
        <f>'پایگاه داده حد انتظار ۳ ماهه'!G27</f>
        <v/>
      </c>
      <c r="Q56" s="6">
        <f>'گزارش عملکرد ۳ ماهه'!F27</f>
        <v/>
      </c>
      <c r="R56" s="7">
        <f>IFERROR(Q56/P56, 0)</f>
        <v/>
      </c>
      <c r="S56" s="8">
        <f>(MIN(0.4, 0.1*F56 + 0.3*I56) + MIN(0.5, 0.5*L56 + MAX(0, 0.1*F56 + 0.3*I56 - 0.4)) + MIN(0.1, 0.1*O56))</f>
        <v/>
      </c>
      <c r="T56" s="9">
        <f>ROUND(70 + 30 * (MIN(0.4, 0.1*F56 + 0.3*I56) + MIN(0.5, 0.5*L56 + MAX(0, 0.1*F56 + 0.3*I56 - 0.4)) + MIN(0.1, 0.1*O56)), 1)</f>
        <v/>
      </c>
      <c r="U56" s="10">
        <f>IF(T56&gt;70, RANK(T56, $T$31:$T$62), "-")</f>
        <v/>
      </c>
      <c r="V56" s="10">
        <f>IF(T56&lt;=70, "ضعیف", IF(T56&gt;=90, "عالی", "متوسط"))</f>
        <v/>
      </c>
    </row>
    <row r="57">
      <c r="A57" s="4" t="n">
        <v>27</v>
      </c>
      <c r="B57" s="5">
        <f>'پایگاه داده حد انتظار ۳ ماهه'!A28</f>
        <v/>
      </c>
      <c r="C57" s="4">
        <f>'پایگاه داده حد انتظار ۳ ماهه'!B28</f>
        <v/>
      </c>
      <c r="D57" s="6">
        <f>'پایگاه داده حد انتظار ۳ ماهه'!C28</f>
        <v/>
      </c>
      <c r="E57" s="6">
        <f>'گزارش عملکرد ۳ ماهه'!B28</f>
        <v/>
      </c>
      <c r="F57" s="7">
        <f>IFERROR(E57/D57, 0)</f>
        <v/>
      </c>
      <c r="G57" s="6">
        <f>'پایگاه داده حد انتظار ۳ ماهه'!D28</f>
        <v/>
      </c>
      <c r="H57" s="6">
        <f>'گزارش عملکرد ۳ ماهه'!C28</f>
        <v/>
      </c>
      <c r="I57" s="7">
        <f>IFERROR(H57/G57, 0)</f>
        <v/>
      </c>
      <c r="J57" s="6">
        <f>'پایگاه داده حد انتظار ۳ ماهه'!E28</f>
        <v/>
      </c>
      <c r="K57" s="6">
        <f>'گزارش عملکرد ۳ ماهه'!D28</f>
        <v/>
      </c>
      <c r="L57" s="7">
        <f>IFERROR(K57/J57, 0)</f>
        <v/>
      </c>
      <c r="M57" s="6">
        <f>'پایگاه داده حد انتظار ۳ ماهه'!F28</f>
        <v/>
      </c>
      <c r="N57" s="6">
        <f>'گزارش عملکرد ۳ ماهه'!E28</f>
        <v/>
      </c>
      <c r="O57" s="7">
        <f>IFERROR(N57/M57, 0)</f>
        <v/>
      </c>
      <c r="P57" s="6">
        <f>'پایگاه داده حد انتظار ۳ ماهه'!G28</f>
        <v/>
      </c>
      <c r="Q57" s="6">
        <f>'گزارش عملکرد ۳ ماهه'!F28</f>
        <v/>
      </c>
      <c r="R57" s="7">
        <f>IFERROR(Q57/P57, 0)</f>
        <v/>
      </c>
      <c r="S57" s="8">
        <f>(MIN(0.4, 0.1*F57 + 0.3*I57) + MIN(0.5, 0.5*L57 + MAX(0, 0.1*F57 + 0.3*I57 - 0.4)) + MIN(0.1, 0.1*O57))</f>
        <v/>
      </c>
      <c r="T57" s="9">
        <f>ROUND(70 + 30 * (MIN(0.4, 0.1*F57 + 0.3*I57) + MIN(0.5, 0.5*L57 + MAX(0, 0.1*F57 + 0.3*I57 - 0.4)) + MIN(0.1, 0.1*O57)), 1)</f>
        <v/>
      </c>
      <c r="U57" s="10">
        <f>IF(T57&gt;70, RANK(T57, $T$31:$T$62), "-")</f>
        <v/>
      </c>
      <c r="V57" s="10">
        <f>IF(T57&lt;=70, "ضعیف", IF(T57&gt;=90, "عالی", "متوسط"))</f>
        <v/>
      </c>
    </row>
    <row r="58">
      <c r="A58" s="4" t="n">
        <v>28</v>
      </c>
      <c r="B58" s="5">
        <f>'پایگاه داده حد انتظار ۳ ماهه'!A29</f>
        <v/>
      </c>
      <c r="C58" s="4">
        <f>'پایگاه داده حد انتظار ۳ ماهه'!B29</f>
        <v/>
      </c>
      <c r="D58" s="6">
        <f>'پایگاه داده حد انتظار ۳ ماهه'!C29</f>
        <v/>
      </c>
      <c r="E58" s="6">
        <f>'گزارش عملکرد ۳ ماهه'!B29</f>
        <v/>
      </c>
      <c r="F58" s="7">
        <f>IFERROR(E58/D58, 0)</f>
        <v/>
      </c>
      <c r="G58" s="6">
        <f>'پایگاه داده حد انتظار ۳ ماهه'!D29</f>
        <v/>
      </c>
      <c r="H58" s="6">
        <f>'گزارش عملکرد ۳ ماهه'!C29</f>
        <v/>
      </c>
      <c r="I58" s="7">
        <f>IFERROR(H58/G58, 0)</f>
        <v/>
      </c>
      <c r="J58" s="6">
        <f>'پایگاه داده حد انتظار ۳ ماهه'!E29</f>
        <v/>
      </c>
      <c r="K58" s="6">
        <f>'گزارش عملکرد ۳ ماهه'!D29</f>
        <v/>
      </c>
      <c r="L58" s="7">
        <f>IFERROR(K58/J58, 0)</f>
        <v/>
      </c>
      <c r="M58" s="6">
        <f>'پایگاه داده حد انتظار ۳ ماهه'!F29</f>
        <v/>
      </c>
      <c r="N58" s="6">
        <f>'گزارش عملکرد ۳ ماهه'!E29</f>
        <v/>
      </c>
      <c r="O58" s="7">
        <f>IFERROR(N58/M58, 0)</f>
        <v/>
      </c>
      <c r="P58" s="6">
        <f>'پایگاه داده حد انتظار ۳ ماهه'!G29</f>
        <v/>
      </c>
      <c r="Q58" s="6">
        <f>'گزارش عملکرد ۳ ماهه'!F29</f>
        <v/>
      </c>
      <c r="R58" s="7">
        <f>IFERROR(Q58/P58, 0)</f>
        <v/>
      </c>
      <c r="S58" s="8">
        <f>(MIN(0.4, 0.1*F58 + 0.3*I58) + MIN(0.5, 0.5*L58 + MAX(0, 0.1*F58 + 0.3*I58 - 0.4)) + MIN(0.1, 0.1*O58))</f>
        <v/>
      </c>
      <c r="T58" s="9">
        <f>ROUND(70 + 30 * (MIN(0.4, 0.1*F58 + 0.3*I58) + MIN(0.5, 0.5*L58 + MAX(0, 0.1*F58 + 0.3*I58 - 0.4)) + MIN(0.1, 0.1*O58)), 1)</f>
        <v/>
      </c>
      <c r="U58" s="10">
        <f>IF(T58&gt;70, RANK(T58, $T$31:$T$62), "-")</f>
        <v/>
      </c>
      <c r="V58" s="10">
        <f>IF(T58&lt;=70, "ضعیف", IF(T58&gt;=90, "عالی", "متوسط"))</f>
        <v/>
      </c>
    </row>
    <row r="59">
      <c r="A59" s="4" t="n">
        <v>29</v>
      </c>
      <c r="B59" s="5">
        <f>'پایگاه داده حد انتظار ۳ ماهه'!A30</f>
        <v/>
      </c>
      <c r="C59" s="4">
        <f>'پایگاه داده حد انتظار ۳ ماهه'!B30</f>
        <v/>
      </c>
      <c r="D59" s="6">
        <f>'پایگاه داده حد انتظار ۳ ماهه'!C30</f>
        <v/>
      </c>
      <c r="E59" s="6">
        <f>'گزارش عملکرد ۳ ماهه'!B30</f>
        <v/>
      </c>
      <c r="F59" s="7">
        <f>IFERROR(E59/D59, 0)</f>
        <v/>
      </c>
      <c r="G59" s="6">
        <f>'پایگاه داده حد انتظار ۳ ماهه'!D30</f>
        <v/>
      </c>
      <c r="H59" s="6">
        <f>'گزارش عملکرد ۳ ماهه'!C30</f>
        <v/>
      </c>
      <c r="I59" s="7">
        <f>IFERROR(H59/G59, 0)</f>
        <v/>
      </c>
      <c r="J59" s="6">
        <f>'پایگاه داده حد انتظار ۳ ماهه'!E30</f>
        <v/>
      </c>
      <c r="K59" s="6">
        <f>'گزارش عملکرد ۳ ماهه'!D30</f>
        <v/>
      </c>
      <c r="L59" s="7">
        <f>IFERROR(K59/J59, 0)</f>
        <v/>
      </c>
      <c r="M59" s="6">
        <f>'پایگاه داده حد انتظار ۳ ماهه'!F30</f>
        <v/>
      </c>
      <c r="N59" s="6">
        <f>'گزارش عملکرد ۳ ماهه'!E30</f>
        <v/>
      </c>
      <c r="O59" s="7">
        <f>IFERROR(N59/M59, 0)</f>
        <v/>
      </c>
      <c r="P59" s="6">
        <f>'پایگاه داده حد انتظار ۳ ماهه'!G30</f>
        <v/>
      </c>
      <c r="Q59" s="6">
        <f>'گزارش عملکرد ۳ ماهه'!F30</f>
        <v/>
      </c>
      <c r="R59" s="7">
        <f>IFERROR(Q59/P59, 0)</f>
        <v/>
      </c>
      <c r="S59" s="8">
        <f>(MIN(0.4, 0.1*F59 + 0.3*I59) + MIN(0.5, 0.5*L59 + MAX(0, 0.1*F59 + 0.3*I59 - 0.4)) + MIN(0.1, 0.1*O59))</f>
        <v/>
      </c>
      <c r="T59" s="9">
        <f>ROUND(70 + 30 * (MIN(0.4, 0.1*F59 + 0.3*I59) + MIN(0.5, 0.5*L59 + MAX(0, 0.1*F59 + 0.3*I59 - 0.4)) + MIN(0.1, 0.1*O59)), 1)</f>
        <v/>
      </c>
      <c r="U59" s="10">
        <f>IF(T59&gt;70, RANK(T59, $T$31:$T$62), "-")</f>
        <v/>
      </c>
      <c r="V59" s="10">
        <f>IF(T59&lt;=70, "ضعیف", IF(T59&gt;=90, "عالی", "متوسط"))</f>
        <v/>
      </c>
    </row>
    <row r="60">
      <c r="A60" s="4" t="n">
        <v>30</v>
      </c>
      <c r="B60" s="5">
        <f>'پایگاه داده حد انتظار ۳ ماهه'!A31</f>
        <v/>
      </c>
      <c r="C60" s="4">
        <f>'پایگاه داده حد انتظار ۳ ماهه'!B31</f>
        <v/>
      </c>
      <c r="D60" s="6">
        <f>'پایگاه داده حد انتظار ۳ ماهه'!C31</f>
        <v/>
      </c>
      <c r="E60" s="6">
        <f>'گزارش عملکرد ۳ ماهه'!B31</f>
        <v/>
      </c>
      <c r="F60" s="7">
        <f>IFERROR(E60/D60, 0)</f>
        <v/>
      </c>
      <c r="G60" s="6">
        <f>'پایگاه داده حد انتظار ۳ ماهه'!D31</f>
        <v/>
      </c>
      <c r="H60" s="6">
        <f>'گزارش عملکرد ۳ ماهه'!C31</f>
        <v/>
      </c>
      <c r="I60" s="7">
        <f>IFERROR(H60/G60, 0)</f>
        <v/>
      </c>
      <c r="J60" s="6">
        <f>'پایگاه داده حد انتظار ۳ ماهه'!E31</f>
        <v/>
      </c>
      <c r="K60" s="6">
        <f>'گزارش عملکرد ۳ ماهه'!D31</f>
        <v/>
      </c>
      <c r="L60" s="7">
        <f>IFERROR(K60/J60, 0)</f>
        <v/>
      </c>
      <c r="M60" s="6">
        <f>'پایگاه داده حد انتظار ۳ ماهه'!F31</f>
        <v/>
      </c>
      <c r="N60" s="6">
        <f>'گزارش عملکرد ۳ ماهه'!E31</f>
        <v/>
      </c>
      <c r="O60" s="7">
        <f>IFERROR(N60/M60, 0)</f>
        <v/>
      </c>
      <c r="P60" s="6">
        <f>'پایگاه داده حد انتظار ۳ ماهه'!G31</f>
        <v/>
      </c>
      <c r="Q60" s="6">
        <f>'گزارش عملکرد ۳ ماهه'!F31</f>
        <v/>
      </c>
      <c r="R60" s="7">
        <f>IFERROR(Q60/P60, 0)</f>
        <v/>
      </c>
      <c r="S60" s="8">
        <f>(MIN(0.4, 0.1*F60 + 0.3*I60) + MIN(0.5, 0.5*L60 + MAX(0, 0.1*F60 + 0.3*I60 - 0.4)) + MIN(0.1, 0.1*O60))</f>
        <v/>
      </c>
      <c r="T60" s="9">
        <f>ROUND(70 + 30 * (MIN(0.4, 0.1*F60 + 0.3*I60) + MIN(0.5, 0.5*L60 + MAX(0, 0.1*F60 + 0.3*I60 - 0.4)) + MIN(0.1, 0.1*O60)), 1)</f>
        <v/>
      </c>
      <c r="U60" s="10">
        <f>IF(T60&gt;70, RANK(T60, $T$31:$T$62), "-")</f>
        <v/>
      </c>
      <c r="V60" s="10">
        <f>IF(T60&lt;=70, "ضعیف", IF(T60&gt;=90, "عالی", "متوسط"))</f>
        <v/>
      </c>
    </row>
    <row r="61">
      <c r="A61" s="4" t="n">
        <v>31</v>
      </c>
      <c r="B61" s="5">
        <f>'پایگاه داده حد انتظار ۳ ماهه'!A32</f>
        <v/>
      </c>
      <c r="C61" s="4">
        <f>'پایگاه داده حد انتظار ۳ ماهه'!B32</f>
        <v/>
      </c>
      <c r="D61" s="6">
        <f>'پایگاه داده حد انتظار ۳ ماهه'!C32</f>
        <v/>
      </c>
      <c r="E61" s="6">
        <f>'گزارش عملکرد ۳ ماهه'!B32</f>
        <v/>
      </c>
      <c r="F61" s="7">
        <f>IFERROR(E61/D61, 0)</f>
        <v/>
      </c>
      <c r="G61" s="6">
        <f>'پایگاه داده حد انتظار ۳ ماهه'!D32</f>
        <v/>
      </c>
      <c r="H61" s="6">
        <f>'گزارش عملکرد ۳ ماهه'!C32</f>
        <v/>
      </c>
      <c r="I61" s="7">
        <f>IFERROR(H61/G61, 0)</f>
        <v/>
      </c>
      <c r="J61" s="6">
        <f>'پایگاه داده حد انتظار ۳ ماهه'!E32</f>
        <v/>
      </c>
      <c r="K61" s="6">
        <f>'گزارش عملکرد ۳ ماهه'!D32</f>
        <v/>
      </c>
      <c r="L61" s="7">
        <f>IFERROR(K61/J61, 0)</f>
        <v/>
      </c>
      <c r="M61" s="6">
        <f>'پایگاه داده حد انتظار ۳ ماهه'!F32</f>
        <v/>
      </c>
      <c r="N61" s="6">
        <f>'گزارش عملکرد ۳ ماهه'!E32</f>
        <v/>
      </c>
      <c r="O61" s="7">
        <f>IFERROR(N61/M61, 0)</f>
        <v/>
      </c>
      <c r="P61" s="6">
        <f>'پایگاه داده حد انتظار ۳ ماهه'!G32</f>
        <v/>
      </c>
      <c r="Q61" s="6">
        <f>'گزارش عملکرد ۳ ماهه'!F32</f>
        <v/>
      </c>
      <c r="R61" s="7">
        <f>IFERROR(Q61/P61, 0)</f>
        <v/>
      </c>
      <c r="S61" s="8">
        <f>(MIN(0.4, 0.1*F61 + 0.3*I61) + MIN(0.5, 0.5*L61 + MAX(0, 0.1*F61 + 0.3*I61 - 0.4)) + MIN(0.1, 0.1*O61))</f>
        <v/>
      </c>
      <c r="T61" s="9">
        <f>ROUND(70 + 30 * (MIN(0.4, 0.1*F61 + 0.3*I61) + MIN(0.5, 0.5*L61 + MAX(0, 0.1*F61 + 0.3*I61 - 0.4)) + MIN(0.1, 0.1*O61)), 1)</f>
        <v/>
      </c>
      <c r="U61" s="10">
        <f>IF(T61&gt;70, RANK(T61, $T$31:$T$62), "-")</f>
        <v/>
      </c>
      <c r="V61" s="10">
        <f>IF(T61&lt;=70, "ضعیف", IF(T61&gt;=90, "عالی", "متوسط"))</f>
        <v/>
      </c>
    </row>
    <row r="62">
      <c r="A62" s="4" t="n">
        <v>32</v>
      </c>
      <c r="B62" s="5">
        <f>'پایگاه داده حد انتظار ۳ ماهه'!A33</f>
        <v/>
      </c>
      <c r="C62" s="4">
        <f>'پایگاه داده حد انتظار ۳ ماهه'!B33</f>
        <v/>
      </c>
      <c r="D62" s="6">
        <f>'پایگاه داده حد انتظار ۳ ماهه'!C33</f>
        <v/>
      </c>
      <c r="E62" s="6">
        <f>'گزارش عملکرد ۳ ماهه'!B33</f>
        <v/>
      </c>
      <c r="F62" s="7">
        <f>IFERROR(E62/D62, 0)</f>
        <v/>
      </c>
      <c r="G62" s="6">
        <f>'پایگاه داده حد انتظار ۳ ماهه'!D33</f>
        <v/>
      </c>
      <c r="H62" s="6">
        <f>'گزارش عملکرد ۳ ماهه'!C33</f>
        <v/>
      </c>
      <c r="I62" s="7">
        <f>IFERROR(H62/G62, 0)</f>
        <v/>
      </c>
      <c r="J62" s="6">
        <f>'پایگاه داده حد انتظار ۳ ماهه'!E33</f>
        <v/>
      </c>
      <c r="K62" s="6">
        <f>'گزارش عملکرد ۳ ماهه'!D33</f>
        <v/>
      </c>
      <c r="L62" s="7">
        <f>IFERROR(K62/J62, 0)</f>
        <v/>
      </c>
      <c r="M62" s="6">
        <f>'پایگاه داده حد انتظار ۳ ماهه'!F33</f>
        <v/>
      </c>
      <c r="N62" s="6">
        <f>'گزارش عملکرد ۳ ماهه'!E33</f>
        <v/>
      </c>
      <c r="O62" s="7">
        <f>IFERROR(N62/M62, 0)</f>
        <v/>
      </c>
      <c r="P62" s="6">
        <f>'پایگاه داده حد انتظار ۳ ماهه'!G33</f>
        <v/>
      </c>
      <c r="Q62" s="6">
        <f>'گزارش عملکرد ۳ ماهه'!F33</f>
        <v/>
      </c>
      <c r="R62" s="7">
        <f>IFERROR(Q62/P62, 0)</f>
        <v/>
      </c>
      <c r="S62" s="8">
        <f>(MIN(0.4, 0.1*F62 + 0.3*I62) + MIN(0.5, 0.5*L62 + MAX(0, 0.1*F62 + 0.3*I62 - 0.4)) + MIN(0.1, 0.1*O62))</f>
        <v/>
      </c>
      <c r="T62" s="9">
        <f>ROUND(70 + 30 * (MIN(0.4, 0.1*F62 + 0.3*I62) + MIN(0.5, 0.5*L62 + MAX(0, 0.1*F62 + 0.3*I62 - 0.4)) + MIN(0.1, 0.1*O62)), 1)</f>
        <v/>
      </c>
      <c r="U62" s="10">
        <f>IF(T62&gt;70, RANK(T62, $T$31:$T$62), "-")</f>
        <v/>
      </c>
      <c r="V62" s="10">
        <f>IF(T62&lt;=70, "ضعیف", IF(T62&gt;=90, "عالی", "متوسط"))</f>
        <v/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101" customWidth="1" min="3" max="3"/>
    <col width="73" customWidth="1" min="4" max="4"/>
    <col width="21" customWidth="1" min="5" max="5"/>
  </cols>
  <sheetData>
    <row r="1">
      <c r="B1" s="11" t="inlineStr">
        <is>
          <t>کارنامه هوشمند پایش عملکرد ۳ ماهه (فصلی) ناحیه</t>
        </is>
      </c>
    </row>
    <row r="2">
      <c r="B2" s="12" t="inlineStr">
        <is>
          <t>انتخاب شهرستان:</t>
        </is>
      </c>
      <c r="C2" s="13" t="inlineStr">
        <is>
          <t>مبارکه</t>
        </is>
      </c>
    </row>
    <row r="3">
      <c r="B3" s="12" t="inlineStr">
        <is>
          <t>دوره ۳ ماهه:</t>
        </is>
      </c>
      <c r="C3" s="13" t="inlineStr">
        <is>
          <t>تابستان (تیر تا شهریور)</t>
        </is>
      </c>
      <c r="D3" s="12" t="inlineStr">
        <is>
          <t>سال ارزیابی:</t>
        </is>
      </c>
      <c r="E3" s="13" t="inlineStr">
        <is>
          <t>1405</t>
        </is>
      </c>
    </row>
    <row r="4">
      <c r="B4" s="3" t="inlineStr">
        <is>
          <t>بخش و شاخص عملکردی</t>
        </is>
      </c>
      <c r="C4" s="3" t="inlineStr">
        <is>
          <t>حد انتظار ۳ ماهه</t>
        </is>
      </c>
      <c r="D4" s="3" t="inlineStr">
        <is>
          <t>عملکرد واقعی ۳ ماهه</t>
        </is>
      </c>
      <c r="E4" s="3" t="inlineStr">
        <is>
          <t>درصد تحقق ۳ ماهه</t>
        </is>
      </c>
    </row>
    <row r="5">
      <c r="B5" s="5" t="inlineStr">
        <is>
          <t>حضوری و توانمندسازی (ضریب ۳۱×۳ = ۹۳)</t>
        </is>
      </c>
      <c r="C5" s="14">
        <f>IFERROR(VLOOKUP($C$2, 'پایگاه داده حد انتظار ۳ ماهه'!$A$2:$H$33, 3, FALSE), 0)</f>
        <v/>
      </c>
      <c r="D5" s="10">
        <f>IFERROR(VLOOKUP($C$2, 'گزارش عملکرد ۳ ماهه'!$A$2:$F$33, 2, FALSE), 0)</f>
        <v/>
      </c>
      <c r="E5" s="15">
        <f>IFERROR(D5/C5, 0)</f>
        <v/>
      </c>
    </row>
    <row r="6">
      <c r="B6" s="5" t="inlineStr">
        <is>
          <t>مجازی و لایو (ضریب ۲۱۷×۳ = ۶۵۱)</t>
        </is>
      </c>
      <c r="C6" s="14">
        <f>IFERROR(VLOOKUP($C$2, 'پایگاه داده حد انتظار ۳ ماهه'!$A$2:$H$33, 4, FALSE), 0)</f>
        <v/>
      </c>
      <c r="D6" s="10">
        <f>IFERROR(VLOOKUP($C$2, 'گزارش عملکرد ۳ ماهه'!$A$2:$F$33, 3, FALSE), 0)</f>
        <v/>
      </c>
      <c r="E6" s="15">
        <f>IFERROR(D6/C6, 0)</f>
        <v/>
      </c>
    </row>
    <row r="7">
      <c r="B7" s="5" t="inlineStr">
        <is>
          <t>اقدامات خلاقانه (ضریب ۶۲×۳ = ۱۸۶)</t>
        </is>
      </c>
      <c r="C7" s="14">
        <f>IFERROR(VLOOKUP($C$2, 'پایگاه داده حد انتظار ۳ ماهه'!$A$2:$H$33, 5, FALSE), 0)</f>
        <v/>
      </c>
      <c r="D7" s="10">
        <f>IFERROR(VLOOKUP($C$2, 'گزارش عملکرد ۳ ماهه'!$A$2:$F$33, 4, FALSE), 0)</f>
        <v/>
      </c>
      <c r="E7" s="15">
        <f>IFERROR(D7/C7, 0)</f>
        <v/>
      </c>
    </row>
    <row r="8">
      <c r="B8" s="5" t="inlineStr">
        <is>
          <t>تولیدات رسانه‌ای (ضریب ۳×۳ = ۹)</t>
        </is>
      </c>
      <c r="C8" s="14">
        <f>IFERROR(VLOOKUP($C$2, 'پایگاه داده حد انتظار ۳ ماهه'!$A$2:$H$33, 6, FALSE), 0)</f>
        <v/>
      </c>
      <c r="D8" s="10">
        <f>IFERROR(VLOOKUP($C$2, 'گزارش عملکرد ۳ ماهه'!$A$2:$F$33, 5, FALSE), 0)</f>
        <v/>
      </c>
      <c r="E8" s="15">
        <f>IFERROR(D8/C8, 0)</f>
        <v/>
      </c>
    </row>
    <row r="9">
      <c r="B9" s="5" t="inlineStr">
        <is>
          <t>نشست انجمن مدرسان (۳ نشست)</t>
        </is>
      </c>
      <c r="C9" s="14">
        <f>IFERROR(VLOOKUP($C$2, 'پایگاه داده حد انتظار ۳ ماهه'!$A$2:$H$33, 7, FALSE), 0)</f>
        <v/>
      </c>
      <c r="D9" s="10">
        <f>IFERROR(VLOOKUP($C$2, 'گزارش عملکرد ۳ ماهه'!$A$2:$F$33, 6, FALSE), 0)</f>
        <v/>
      </c>
      <c r="E9" s="15">
        <f>IFERROR(D9/C9, 0)</f>
        <v/>
      </c>
    </row>
    <row r="11">
      <c r="B11" s="16" t="inlineStr">
        <is>
          <t>درصد تحقق وزنی اهداف:</t>
        </is>
      </c>
      <c r="C11" s="17">
        <f>(MIN(0.4, 0.1*E5 + 0.3*E6) + MIN(0.5, 0.5*E7 + MAX(0, 0.1*E5 + 0.3*E6 - 0.4)) + MIN(0.1, 0.1*E8))</f>
        <v/>
      </c>
    </row>
    <row r="12">
      <c r="B12" s="18" t="inlineStr">
        <is>
          <t>نمره نهایی کارنامه (مقیاس ۷۰ تا ۱۰۰):</t>
        </is>
      </c>
      <c r="C12" s="19">
        <f>ROUND(70 + 30 * MIN(1, MAX(0, C11)), 1)</f>
        <v/>
      </c>
    </row>
    <row r="13">
      <c r="B13" s="16" t="inlineStr">
        <is>
          <t>رتبه در استان:</t>
        </is>
      </c>
      <c r="C13" s="20">
        <f>IFERROR(VLOOKUP($C$2, 'داشبورد مانیتورینگ ۳ ماهه'!$B$31:$U$62, 20, FALSE), "-")</f>
        <v/>
      </c>
    </row>
    <row r="14">
      <c r="B14" s="16" t="inlineStr">
        <is>
          <t>سطح ارزیابی (۳ سطح):</t>
        </is>
      </c>
      <c r="C14" s="20">
        <f>IF(C12&lt;=70, "ضعیف", IF(C12&gt;=90, "عالی", "متوسط"))</f>
        <v/>
      </c>
    </row>
    <row r="15">
      <c r="B15" s="16" t="inlineStr">
        <is>
          <t>تعداد حوزه مقاومت:</t>
        </is>
      </c>
      <c r="C15" s="21">
        <f>IFERROR(VLOOKUP($C$2, 'پایگاه داده حد انتظار ۳ ماهه'!$A$2:$B$33, 2, FALSE), 0)</f>
        <v/>
      </c>
    </row>
    <row r="16">
      <c r="B16" s="16" t="inlineStr">
        <is>
          <t>تعداد ماه‌های ثبت‌شده:</t>
        </is>
      </c>
      <c r="C16" s="21">
        <f>IFERROR(VLOOKUP($C$2, 'گزارش عملکرد ۳ ماهه'!$A$2:$G$33, 7, FALSE), 0)</f>
        <v/>
      </c>
    </row>
  </sheetData>
  <dataValidations count="2">
    <dataValidation sqref="C2 C3" showDropDown="0" showInputMessage="0" showErrorMessage="0" allowBlank="0" type="list">
      <formula1>"آران و بیدگل,امام حسین(ع),امام رضا(ع),امام صادق(ع),امام علی(ع),اردستان,برخوار,بویین و میاندشت,تیران و کرون,جرقویه,چادگان,خمینی شهر,خوانسار,خور و بیابانک,درچه,دهاقان,سمیرم,شاهین شهر,شهرضا,فریدن,فریدون شهر,فلاورجان,کاشان,کوهپایه,گلپایگان,لنجان,مبارکه,نایین,نجف آباد,نطنز,ورزنه,هرند"</formula1>
    </dataValidation>
    <dataValidation sqref="C3" showDropDown="0" showInputMessage="0" showErrorMessage="0" allowBlank="0" type="list">
      <formula1>"بهار (فروردین تا خرداد),تابستان (تیر تا شهریور),پاییز (مهر تا آذر),زمستان (دی تا اسفند)"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3" customWidth="1" min="4" max="4"/>
    <col width="23" customWidth="1" min="5" max="5"/>
    <col width="20" customWidth="1" min="6" max="6"/>
    <col width="26" customWidth="1" min="7" max="7"/>
    <col width="30" customWidth="1" min="8" max="8"/>
  </cols>
  <sheetData>
    <row r="1">
      <c r="A1" s="22" t="inlineStr">
        <is>
          <t>نام ناحیه (شهرستان)</t>
        </is>
      </c>
      <c r="B1" s="22" t="inlineStr">
        <is>
          <t>عملکرد تجمعی حضوری</t>
        </is>
      </c>
      <c r="C1" s="22" t="inlineStr">
        <is>
          <t>عملکرد تجمعی مجازی</t>
        </is>
      </c>
      <c r="D1" s="22" t="inlineStr">
        <is>
          <t>عملکرد تجمعی خلاقانه</t>
        </is>
      </c>
      <c r="E1" s="22" t="inlineStr">
        <is>
          <t>عملکرد تجمعی تولیدات</t>
        </is>
      </c>
      <c r="F1" s="22" t="inlineStr">
        <is>
          <t>عملکرد تجمعی نشست</t>
        </is>
      </c>
      <c r="G1" s="22" t="inlineStr">
        <is>
          <t>تعداد ماه‌های گزارش‌شده</t>
        </is>
      </c>
      <c r="H1" s="22" t="inlineStr">
        <is>
          <t>دوره ۳ ماهه</t>
        </is>
      </c>
    </row>
    <row r="2">
      <c r="A2" s="5" t="inlineStr">
        <is>
          <t>آران و بیدگل</t>
        </is>
      </c>
      <c r="B2" s="14" t="n">
        <v>0</v>
      </c>
      <c r="C2" s="14" t="n">
        <v>0</v>
      </c>
      <c r="D2" s="14" t="n">
        <v>0</v>
      </c>
      <c r="E2" s="14" t="n">
        <v>0</v>
      </c>
      <c r="F2" s="14" t="n">
        <v>0</v>
      </c>
      <c r="G2" s="4" t="n">
        <v>0</v>
      </c>
      <c r="H2" s="4">
        <f>'کارنامه هوشمند ۳ ماهه'!C3</f>
        <v/>
      </c>
    </row>
    <row r="3">
      <c r="A3" s="5" t="inlineStr">
        <is>
          <t>امام حسین(ع)</t>
        </is>
      </c>
      <c r="B3" s="14" t="n">
        <v>0</v>
      </c>
      <c r="C3" s="14" t="n">
        <v>0</v>
      </c>
      <c r="D3" s="14" t="n">
        <v>0</v>
      </c>
      <c r="E3" s="14" t="n">
        <v>0</v>
      </c>
      <c r="F3" s="14" t="n">
        <v>0</v>
      </c>
      <c r="G3" s="4" t="n">
        <v>0</v>
      </c>
      <c r="H3" s="4">
        <f>'کارنامه هوشمند ۳ ماهه'!C3</f>
        <v/>
      </c>
    </row>
    <row r="4">
      <c r="A4" s="5" t="inlineStr">
        <is>
          <t>امام رضا(ع)</t>
        </is>
      </c>
      <c r="B4" s="14" t="n">
        <v>0</v>
      </c>
      <c r="C4" s="14" t="n">
        <v>0</v>
      </c>
      <c r="D4" s="14" t="n">
        <v>0</v>
      </c>
      <c r="E4" s="14" t="n">
        <v>0</v>
      </c>
      <c r="F4" s="14" t="n">
        <v>0</v>
      </c>
      <c r="G4" s="4" t="n">
        <v>0</v>
      </c>
      <c r="H4" s="4">
        <f>'کارنامه هوشمند ۳ ماهه'!C3</f>
        <v/>
      </c>
    </row>
    <row r="5">
      <c r="A5" s="5" t="inlineStr">
        <is>
          <t>امام صادق(ع)</t>
        </is>
      </c>
      <c r="B5" s="14" t="n">
        <v>0</v>
      </c>
      <c r="C5" s="14" t="n">
        <v>0</v>
      </c>
      <c r="D5" s="14" t="n">
        <v>0</v>
      </c>
      <c r="E5" s="14" t="n">
        <v>0</v>
      </c>
      <c r="F5" s="14" t="n">
        <v>0</v>
      </c>
      <c r="G5" s="4" t="n">
        <v>0</v>
      </c>
      <c r="H5" s="4">
        <f>'کارنامه هوشمند ۳ ماهه'!C3</f>
        <v/>
      </c>
    </row>
    <row r="6">
      <c r="A6" s="5" t="inlineStr">
        <is>
          <t>امام علی(ع)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4" t="n">
        <v>0</v>
      </c>
      <c r="H6" s="4">
        <f>'کارنامه هوشمند ۳ ماهه'!C3</f>
        <v/>
      </c>
    </row>
    <row r="7">
      <c r="A7" s="5" t="inlineStr">
        <is>
          <t>اردستان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4" t="n">
        <v>0</v>
      </c>
      <c r="H7" s="4">
        <f>'کارنامه هوشمند ۳ ماهه'!C3</f>
        <v/>
      </c>
    </row>
    <row r="8">
      <c r="A8" s="5" t="inlineStr">
        <is>
          <t>برخوار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4" t="n">
        <v>0</v>
      </c>
      <c r="H8" s="4">
        <f>'کارنامه هوشمند ۳ ماهه'!C3</f>
        <v/>
      </c>
    </row>
    <row r="9">
      <c r="A9" s="5" t="inlineStr">
        <is>
          <t>بویین و میاندشت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4" t="n">
        <v>0</v>
      </c>
      <c r="H9" s="4">
        <f>'کارنامه هوشمند ۳ ماهه'!C3</f>
        <v/>
      </c>
    </row>
    <row r="10">
      <c r="A10" s="5" t="inlineStr">
        <is>
          <t>تیران و کرون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4" t="n">
        <v>0</v>
      </c>
      <c r="H10" s="4">
        <f>'کارنامه هوشمند ۳ ماهه'!C3</f>
        <v/>
      </c>
    </row>
    <row r="11">
      <c r="A11" s="5" t="inlineStr">
        <is>
          <t>جرقویه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4" t="n">
        <v>0</v>
      </c>
      <c r="H11" s="4">
        <f>'کارنامه هوشمند ۳ ماهه'!C3</f>
        <v/>
      </c>
    </row>
    <row r="12">
      <c r="A12" s="5" t="inlineStr">
        <is>
          <t>چادگان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4" t="n">
        <v>0</v>
      </c>
      <c r="H12" s="4">
        <f>'کارنامه هوشمند ۳ ماهه'!C3</f>
        <v/>
      </c>
    </row>
    <row r="13">
      <c r="A13" s="5" t="inlineStr">
        <is>
          <t>خمینی شهر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4" t="n">
        <v>0</v>
      </c>
      <c r="H13" s="4">
        <f>'کارنامه هوشمند ۳ ماهه'!C3</f>
        <v/>
      </c>
    </row>
    <row r="14">
      <c r="A14" s="5" t="inlineStr">
        <is>
          <t>خوانسار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4" t="n">
        <v>0</v>
      </c>
      <c r="H14" s="4">
        <f>'کارنامه هوشمند ۳ ماهه'!C3</f>
        <v/>
      </c>
    </row>
    <row r="15">
      <c r="A15" s="5" t="inlineStr">
        <is>
          <t>خور و بیابانک</t>
        </is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4" t="n">
        <v>0</v>
      </c>
      <c r="H15" s="4">
        <f>'کارنامه هوشمند ۳ ماهه'!C3</f>
        <v/>
      </c>
    </row>
    <row r="16">
      <c r="A16" s="5" t="inlineStr">
        <is>
          <t>درچه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4" t="n">
        <v>0</v>
      </c>
      <c r="H16" s="4">
        <f>'کارنامه هوشمند ۳ ماهه'!C3</f>
        <v/>
      </c>
    </row>
    <row r="17">
      <c r="A17" s="5" t="inlineStr">
        <is>
          <t>دهاقان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4" t="n">
        <v>0</v>
      </c>
      <c r="H17" s="4">
        <f>'کارنامه هوشمند ۳ ماهه'!C3</f>
        <v/>
      </c>
    </row>
    <row r="18">
      <c r="A18" s="5" t="inlineStr">
        <is>
          <t>سمیرم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4" t="n">
        <v>0</v>
      </c>
      <c r="H18" s="4">
        <f>'کارنامه هوشمند ۳ ماهه'!C3</f>
        <v/>
      </c>
    </row>
    <row r="19">
      <c r="A19" s="5" t="inlineStr">
        <is>
          <t>شاهین شهر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4" t="n">
        <v>0</v>
      </c>
      <c r="H19" s="4">
        <f>'کارنامه هوشمند ۳ ماهه'!C3</f>
        <v/>
      </c>
    </row>
    <row r="20">
      <c r="A20" s="5" t="inlineStr">
        <is>
          <t>شهرضا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0</v>
      </c>
      <c r="G20" s="4" t="n">
        <v>0</v>
      </c>
      <c r="H20" s="4">
        <f>'کارنامه هوشمند ۳ ماهه'!C3</f>
        <v/>
      </c>
    </row>
    <row r="21">
      <c r="A21" s="5" t="inlineStr">
        <is>
          <t>فریدن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4" t="n">
        <v>0</v>
      </c>
      <c r="H21" s="4">
        <f>'کارنامه هوشمند ۳ ماهه'!C3</f>
        <v/>
      </c>
    </row>
    <row r="22">
      <c r="A22" s="5" t="inlineStr">
        <is>
          <t>فریدون شهر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4" t="n">
        <v>0</v>
      </c>
      <c r="H22" s="4">
        <f>'کارنامه هوشمند ۳ ماهه'!C3</f>
        <v/>
      </c>
    </row>
    <row r="23">
      <c r="A23" s="5" t="inlineStr">
        <is>
          <t>فلاورجان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4" t="n">
        <v>0</v>
      </c>
      <c r="H23" s="4">
        <f>'کارنامه هوشمند ۳ ماهه'!C3</f>
        <v/>
      </c>
    </row>
    <row r="24">
      <c r="A24" s="5" t="inlineStr">
        <is>
          <t>کاشان</t>
        </is>
      </c>
      <c r="B24" s="14" t="n">
        <v>0</v>
      </c>
      <c r="C24" s="14" t="n">
        <v>0</v>
      </c>
      <c r="D24" s="14" t="n">
        <v>0</v>
      </c>
      <c r="E24" s="14" t="n">
        <v>0</v>
      </c>
      <c r="F24" s="14" t="n">
        <v>0</v>
      </c>
      <c r="G24" s="4" t="n">
        <v>0</v>
      </c>
      <c r="H24" s="4">
        <f>'کارنامه هوشمند ۳ ماهه'!C3</f>
        <v/>
      </c>
    </row>
    <row r="25">
      <c r="A25" s="5" t="inlineStr">
        <is>
          <t>کوهپایه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14" t="n">
        <v>0</v>
      </c>
      <c r="G25" s="4" t="n">
        <v>0</v>
      </c>
      <c r="H25" s="4">
        <f>'کارنامه هوشمند ۳ ماهه'!C3</f>
        <v/>
      </c>
    </row>
    <row r="26">
      <c r="A26" s="5" t="inlineStr">
        <is>
          <t>گلپایگان</t>
        </is>
      </c>
      <c r="B26" s="14" t="n">
        <v>600</v>
      </c>
      <c r="C26" s="14" t="n">
        <v>1500</v>
      </c>
      <c r="D26" s="14" t="n">
        <v>900</v>
      </c>
      <c r="E26" s="14" t="n">
        <v>15</v>
      </c>
      <c r="F26" s="14" t="n">
        <v>3</v>
      </c>
      <c r="G26" s="4" t="n">
        <v>3</v>
      </c>
      <c r="H26" s="4">
        <f>'کارنامه هوشمند ۳ ماهه'!C3</f>
        <v/>
      </c>
    </row>
    <row r="27">
      <c r="A27" s="5" t="inlineStr">
        <is>
          <t>لنجان</t>
        </is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4" t="n">
        <v>0</v>
      </c>
      <c r="H27" s="4">
        <f>'کارنامه هوشمند ۳ ماهه'!C3</f>
        <v/>
      </c>
    </row>
    <row r="28">
      <c r="A28" s="5" t="inlineStr">
        <is>
          <t>مبارکه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4" t="n">
        <v>0</v>
      </c>
      <c r="H28" s="4">
        <f>'کارنامه هوشمند ۳ ماهه'!C3</f>
        <v/>
      </c>
    </row>
    <row r="29">
      <c r="A29" s="5" t="inlineStr">
        <is>
          <t>نایین</t>
        </is>
      </c>
      <c r="B29" s="14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4" t="n">
        <v>0</v>
      </c>
      <c r="H29" s="4">
        <f>'کارنامه هوشمند ۳ ماهه'!C3</f>
        <v/>
      </c>
    </row>
    <row r="30">
      <c r="A30" s="5" t="inlineStr">
        <is>
          <t>نجف آباد</t>
        </is>
      </c>
      <c r="B30" s="14" t="n">
        <v>0</v>
      </c>
      <c r="C30" s="14" t="n">
        <v>0</v>
      </c>
      <c r="D30" s="14" t="n">
        <v>0</v>
      </c>
      <c r="E30" s="14" t="n">
        <v>0</v>
      </c>
      <c r="F30" s="14" t="n">
        <v>0</v>
      </c>
      <c r="G30" s="4" t="n">
        <v>0</v>
      </c>
      <c r="H30" s="4">
        <f>'کارنامه هوشمند ۳ ماهه'!C3</f>
        <v/>
      </c>
    </row>
    <row r="31">
      <c r="A31" s="5" t="inlineStr">
        <is>
          <t>نطنز</t>
        </is>
      </c>
      <c r="B31" s="14" t="n">
        <v>0</v>
      </c>
      <c r="C31" s="14" t="n">
        <v>0</v>
      </c>
      <c r="D31" s="14" t="n">
        <v>0</v>
      </c>
      <c r="E31" s="14" t="n">
        <v>0</v>
      </c>
      <c r="F31" s="14" t="n">
        <v>0</v>
      </c>
      <c r="G31" s="4" t="n">
        <v>0</v>
      </c>
      <c r="H31" s="4">
        <f>'کارنامه هوشمند ۳ ماهه'!C3</f>
        <v/>
      </c>
    </row>
    <row r="32">
      <c r="A32" s="5" t="inlineStr">
        <is>
          <t>ورزنه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4" t="n">
        <v>0</v>
      </c>
      <c r="H32" s="4">
        <f>'کارنامه هوشمند ۳ ماهه'!C3</f>
        <v/>
      </c>
    </row>
    <row r="33">
      <c r="A33" s="5" t="inlineStr">
        <is>
          <t>هرند</t>
        </is>
      </c>
      <c r="B33" s="14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4" t="n">
        <v>0</v>
      </c>
      <c r="H33" s="4">
        <f>'کارنامه هوشمند ۳ ماهه'!C3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31" customWidth="1" min="3" max="3"/>
    <col width="32" customWidth="1" min="4" max="4"/>
    <col width="34" customWidth="1" min="5" max="5"/>
    <col width="32" customWidth="1" min="6" max="6"/>
    <col width="33" customWidth="1" min="7" max="7"/>
    <col width="23" customWidth="1" min="8" max="8"/>
  </cols>
  <sheetData>
    <row r="1">
      <c r="A1" s="3" t="inlineStr">
        <is>
          <t>نام ناحیه (شهرستان)</t>
        </is>
      </c>
      <c r="B1" s="3" t="inlineStr">
        <is>
          <t>تعداد حوزه</t>
        </is>
      </c>
      <c r="C1" s="3" t="inlineStr">
        <is>
          <t>حد انتظار ۳ ماهه حضوری (۹۳×)</t>
        </is>
      </c>
      <c r="D1" s="3" t="inlineStr">
        <is>
          <t>حد انتظار ۳ ماهه مجازی (۶۵۱×)</t>
        </is>
      </c>
      <c r="E1" s="3" t="inlineStr">
        <is>
          <t>حد انتظار ۳ ماهه خلاقانه (۱۸۶×)</t>
        </is>
      </c>
      <c r="F1" s="3" t="inlineStr">
        <is>
          <t>حد انتظار ۳ ماهه تولیدات (۹×)</t>
        </is>
      </c>
      <c r="G1" s="3" t="inlineStr">
        <is>
          <t>حد انتظار ۳ ماهه نشست (۳ نشست)</t>
        </is>
      </c>
      <c r="H1" s="3" t="inlineStr">
        <is>
          <t>حدانتظار اعضای انجمن</t>
        </is>
      </c>
    </row>
    <row r="2">
      <c r="A2" s="23" t="inlineStr">
        <is>
          <t>آران و بیدگل</t>
        </is>
      </c>
      <c r="B2" s="14" t="n">
        <v>10</v>
      </c>
      <c r="C2" s="14" t="n">
        <v>930</v>
      </c>
      <c r="D2" s="14" t="n">
        <v>6510</v>
      </c>
      <c r="E2" s="14" t="n">
        <v>1860</v>
      </c>
      <c r="F2" s="14" t="n">
        <v>90</v>
      </c>
      <c r="G2" s="14" t="n">
        <v>3</v>
      </c>
      <c r="H2" s="14" t="n">
        <v>22</v>
      </c>
    </row>
    <row r="3">
      <c r="A3" s="23" t="inlineStr">
        <is>
          <t>امام حسین(ع)</t>
        </is>
      </c>
      <c r="B3" s="14" t="n">
        <v>5</v>
      </c>
      <c r="C3" s="14" t="n">
        <v>465</v>
      </c>
      <c r="D3" s="14" t="n">
        <v>3255</v>
      </c>
      <c r="E3" s="14" t="n">
        <v>930</v>
      </c>
      <c r="F3" s="14" t="n">
        <v>45</v>
      </c>
      <c r="G3" s="14" t="n">
        <v>3</v>
      </c>
      <c r="H3" s="14" t="n">
        <v>22</v>
      </c>
    </row>
    <row r="4">
      <c r="A4" s="23" t="inlineStr">
        <is>
          <t>امام رضا(ع)</t>
        </is>
      </c>
      <c r="B4" s="14" t="n">
        <v>22</v>
      </c>
      <c r="C4" s="14" t="n">
        <v>2046</v>
      </c>
      <c r="D4" s="14" t="n">
        <v>14322</v>
      </c>
      <c r="E4" s="14" t="n">
        <v>4092</v>
      </c>
      <c r="F4" s="14" t="n">
        <v>198</v>
      </c>
      <c r="G4" s="14" t="n">
        <v>3</v>
      </c>
      <c r="H4" s="14" t="n">
        <v>22</v>
      </c>
    </row>
    <row r="5">
      <c r="A5" s="23" t="inlineStr">
        <is>
          <t>امام صادق(ع)</t>
        </is>
      </c>
      <c r="B5" s="14" t="n">
        <v>22</v>
      </c>
      <c r="C5" s="14" t="n">
        <v>2046</v>
      </c>
      <c r="D5" s="14" t="n">
        <v>14322</v>
      </c>
      <c r="E5" s="14" t="n">
        <v>4092</v>
      </c>
      <c r="F5" s="14" t="n">
        <v>198</v>
      </c>
      <c r="G5" s="14" t="n">
        <v>3</v>
      </c>
      <c r="H5" s="14" t="n">
        <v>22</v>
      </c>
    </row>
    <row r="6">
      <c r="A6" s="23" t="inlineStr">
        <is>
          <t>امام علی(ع)</t>
        </is>
      </c>
      <c r="B6" s="14" t="n">
        <v>6</v>
      </c>
      <c r="C6" s="14" t="n">
        <v>558</v>
      </c>
      <c r="D6" s="14" t="n">
        <v>3906</v>
      </c>
      <c r="E6" s="14" t="n">
        <v>1116</v>
      </c>
      <c r="F6" s="14" t="n">
        <v>54</v>
      </c>
      <c r="G6" s="14" t="n">
        <v>3</v>
      </c>
      <c r="H6" s="14" t="n">
        <v>22</v>
      </c>
    </row>
    <row r="7">
      <c r="A7" s="23" t="inlineStr">
        <is>
          <t>اردستان</t>
        </is>
      </c>
      <c r="B7" s="14" t="n">
        <v>6</v>
      </c>
      <c r="C7" s="14" t="n">
        <v>558</v>
      </c>
      <c r="D7" s="14" t="n">
        <v>3906</v>
      </c>
      <c r="E7" s="14" t="n">
        <v>1116</v>
      </c>
      <c r="F7" s="14" t="n">
        <v>54</v>
      </c>
      <c r="G7" s="14" t="n">
        <v>3</v>
      </c>
      <c r="H7" s="14" t="n">
        <v>22</v>
      </c>
    </row>
    <row r="8">
      <c r="A8" s="23" t="inlineStr">
        <is>
          <t>برخوار</t>
        </is>
      </c>
      <c r="B8" s="14" t="n">
        <v>5</v>
      </c>
      <c r="C8" s="14" t="n">
        <v>465</v>
      </c>
      <c r="D8" s="14" t="n">
        <v>3255</v>
      </c>
      <c r="E8" s="14" t="n">
        <v>930</v>
      </c>
      <c r="F8" s="14" t="n">
        <v>45</v>
      </c>
      <c r="G8" s="14" t="n">
        <v>3</v>
      </c>
      <c r="H8" s="14" t="n">
        <v>22</v>
      </c>
    </row>
    <row r="9">
      <c r="A9" s="23" t="inlineStr">
        <is>
          <t>بویین و میاندشت</t>
        </is>
      </c>
      <c r="B9" s="14" t="n">
        <v>3</v>
      </c>
      <c r="C9" s="14" t="n">
        <v>279</v>
      </c>
      <c r="D9" s="14" t="n">
        <v>1953</v>
      </c>
      <c r="E9" s="14" t="n">
        <v>558</v>
      </c>
      <c r="F9" s="14" t="n">
        <v>27</v>
      </c>
      <c r="G9" s="14" t="n">
        <v>3</v>
      </c>
      <c r="H9" s="14" t="n">
        <v>22</v>
      </c>
    </row>
    <row r="10">
      <c r="A10" s="23" t="inlineStr">
        <is>
          <t>تیران و کرون</t>
        </is>
      </c>
      <c r="B10" s="14" t="n">
        <v>6</v>
      </c>
      <c r="C10" s="14" t="n">
        <v>558</v>
      </c>
      <c r="D10" s="14" t="n">
        <v>3906</v>
      </c>
      <c r="E10" s="14" t="n">
        <v>1116</v>
      </c>
      <c r="F10" s="14" t="n">
        <v>54</v>
      </c>
      <c r="G10" s="14" t="n">
        <v>3</v>
      </c>
      <c r="H10" s="14" t="n">
        <v>22</v>
      </c>
    </row>
    <row r="11">
      <c r="A11" s="23" t="inlineStr">
        <is>
          <t>جرقویه</t>
        </is>
      </c>
      <c r="B11" s="14" t="n">
        <v>4</v>
      </c>
      <c r="C11" s="14" t="n">
        <v>372</v>
      </c>
      <c r="D11" s="14" t="n">
        <v>2604</v>
      </c>
      <c r="E11" s="14" t="n">
        <v>744</v>
      </c>
      <c r="F11" s="14" t="n">
        <v>36</v>
      </c>
      <c r="G11" s="14" t="n">
        <v>3</v>
      </c>
      <c r="H11" s="14" t="n">
        <v>22</v>
      </c>
    </row>
    <row r="12">
      <c r="A12" s="23" t="inlineStr">
        <is>
          <t>چادگان</t>
        </is>
      </c>
      <c r="B12" s="14" t="n">
        <v>5</v>
      </c>
      <c r="C12" s="14" t="n">
        <v>465</v>
      </c>
      <c r="D12" s="14" t="n">
        <v>3255</v>
      </c>
      <c r="E12" s="14" t="n">
        <v>930</v>
      </c>
      <c r="F12" s="14" t="n">
        <v>45</v>
      </c>
      <c r="G12" s="14" t="n">
        <v>3</v>
      </c>
      <c r="H12" s="14" t="n">
        <v>22</v>
      </c>
    </row>
    <row r="13">
      <c r="A13" s="23" t="inlineStr">
        <is>
          <t>خمینی شهر</t>
        </is>
      </c>
      <c r="B13" s="14" t="n">
        <v>9</v>
      </c>
      <c r="C13" s="14" t="n">
        <v>837</v>
      </c>
      <c r="D13" s="14" t="n">
        <v>5859</v>
      </c>
      <c r="E13" s="14" t="n">
        <v>1674</v>
      </c>
      <c r="F13" s="14" t="n">
        <v>81</v>
      </c>
      <c r="G13" s="14" t="n">
        <v>3</v>
      </c>
      <c r="H13" s="14" t="n">
        <v>22</v>
      </c>
    </row>
    <row r="14">
      <c r="A14" s="23" t="inlineStr">
        <is>
          <t>خوانسار</t>
        </is>
      </c>
      <c r="B14" s="14" t="n">
        <v>3</v>
      </c>
      <c r="C14" s="14" t="n">
        <v>279</v>
      </c>
      <c r="D14" s="14" t="n">
        <v>1953</v>
      </c>
      <c r="E14" s="14" t="n">
        <v>558</v>
      </c>
      <c r="F14" s="14" t="n">
        <v>27</v>
      </c>
      <c r="G14" s="14" t="n">
        <v>3</v>
      </c>
      <c r="H14" s="14" t="n">
        <v>22</v>
      </c>
    </row>
    <row r="15">
      <c r="A15" s="23" t="inlineStr">
        <is>
          <t>خور و بیابانک</t>
        </is>
      </c>
      <c r="B15" s="14" t="n">
        <v>2</v>
      </c>
      <c r="C15" s="14" t="n">
        <v>186</v>
      </c>
      <c r="D15" s="14" t="n">
        <v>1302</v>
      </c>
      <c r="E15" s="14" t="n">
        <v>372</v>
      </c>
      <c r="F15" s="14" t="n">
        <v>18</v>
      </c>
      <c r="G15" s="14" t="n">
        <v>3</v>
      </c>
      <c r="H15" s="14" t="n">
        <v>22</v>
      </c>
    </row>
    <row r="16">
      <c r="A16" s="23" t="inlineStr">
        <is>
          <t>درچه</t>
        </is>
      </c>
      <c r="B16" s="14" t="n">
        <v>4</v>
      </c>
      <c r="C16" s="14" t="n">
        <v>372</v>
      </c>
      <c r="D16" s="14" t="n">
        <v>2604</v>
      </c>
      <c r="E16" s="14" t="n">
        <v>744</v>
      </c>
      <c r="F16" s="14" t="n">
        <v>36</v>
      </c>
      <c r="G16" s="14" t="n">
        <v>3</v>
      </c>
      <c r="H16" s="14" t="n">
        <v>22</v>
      </c>
    </row>
    <row r="17">
      <c r="A17" s="23" t="inlineStr">
        <is>
          <t>دهاقان</t>
        </is>
      </c>
      <c r="B17" s="14" t="n">
        <v>3</v>
      </c>
      <c r="C17" s="14" t="n">
        <v>279</v>
      </c>
      <c r="D17" s="14" t="n">
        <v>1953</v>
      </c>
      <c r="E17" s="14" t="n">
        <v>558</v>
      </c>
      <c r="F17" s="14" t="n">
        <v>27</v>
      </c>
      <c r="G17" s="14" t="n">
        <v>3</v>
      </c>
      <c r="H17" s="14" t="n">
        <v>22</v>
      </c>
    </row>
    <row r="18">
      <c r="A18" s="23" t="inlineStr">
        <is>
          <t>سمیرم</t>
        </is>
      </c>
      <c r="B18" s="14" t="n">
        <v>7</v>
      </c>
      <c r="C18" s="14" t="n">
        <v>651</v>
      </c>
      <c r="D18" s="14" t="n">
        <v>4557</v>
      </c>
      <c r="E18" s="14" t="n">
        <v>1302</v>
      </c>
      <c r="F18" s="14" t="n">
        <v>63</v>
      </c>
      <c r="G18" s="14" t="n">
        <v>3</v>
      </c>
      <c r="H18" s="14" t="n">
        <v>22</v>
      </c>
    </row>
    <row r="19">
      <c r="A19" s="23" t="inlineStr">
        <is>
          <t>شاهین شهر</t>
        </is>
      </c>
      <c r="B19" s="14" t="n">
        <v>9</v>
      </c>
      <c r="C19" s="14" t="n">
        <v>837</v>
      </c>
      <c r="D19" s="14" t="n">
        <v>5859</v>
      </c>
      <c r="E19" s="14" t="n">
        <v>1674</v>
      </c>
      <c r="F19" s="14" t="n">
        <v>81</v>
      </c>
      <c r="G19" s="14" t="n">
        <v>3</v>
      </c>
      <c r="H19" s="14" t="n">
        <v>22</v>
      </c>
    </row>
    <row r="20">
      <c r="A20" s="23" t="inlineStr">
        <is>
          <t>شهرضا</t>
        </is>
      </c>
      <c r="B20" s="14" t="n">
        <v>8</v>
      </c>
      <c r="C20" s="14" t="n">
        <v>744</v>
      </c>
      <c r="D20" s="14" t="n">
        <v>5208</v>
      </c>
      <c r="E20" s="14" t="n">
        <v>1488</v>
      </c>
      <c r="F20" s="14" t="n">
        <v>72</v>
      </c>
      <c r="G20" s="14" t="n">
        <v>3</v>
      </c>
      <c r="H20" s="14" t="n">
        <v>22</v>
      </c>
    </row>
    <row r="21">
      <c r="A21" s="23" t="inlineStr">
        <is>
          <t>فریدن</t>
        </is>
      </c>
      <c r="B21" s="14" t="n">
        <v>4</v>
      </c>
      <c r="C21" s="14" t="n">
        <v>372</v>
      </c>
      <c r="D21" s="14" t="n">
        <v>2604</v>
      </c>
      <c r="E21" s="14" t="n">
        <v>744</v>
      </c>
      <c r="F21" s="14" t="n">
        <v>36</v>
      </c>
      <c r="G21" s="14" t="n">
        <v>3</v>
      </c>
      <c r="H21" s="14" t="n">
        <v>22</v>
      </c>
    </row>
    <row r="22">
      <c r="A22" s="23" t="inlineStr">
        <is>
          <t>فریدون شهر</t>
        </is>
      </c>
      <c r="B22" s="14" t="n">
        <v>3</v>
      </c>
      <c r="C22" s="14" t="n">
        <v>279</v>
      </c>
      <c r="D22" s="14" t="n">
        <v>1953</v>
      </c>
      <c r="E22" s="14" t="n">
        <v>558</v>
      </c>
      <c r="F22" s="14" t="n">
        <v>27</v>
      </c>
      <c r="G22" s="14" t="n">
        <v>3</v>
      </c>
      <c r="H22" s="14" t="n">
        <v>22</v>
      </c>
    </row>
    <row r="23">
      <c r="A23" s="23" t="inlineStr">
        <is>
          <t>فلاورجان</t>
        </is>
      </c>
      <c r="B23" s="14" t="n">
        <v>11</v>
      </c>
      <c r="C23" s="14" t="n">
        <v>1023</v>
      </c>
      <c r="D23" s="14" t="n">
        <v>7161</v>
      </c>
      <c r="E23" s="14" t="n">
        <v>2046</v>
      </c>
      <c r="F23" s="14" t="n">
        <v>99</v>
      </c>
      <c r="G23" s="14" t="n">
        <v>3</v>
      </c>
      <c r="H23" s="14" t="n">
        <v>22</v>
      </c>
    </row>
    <row r="24">
      <c r="A24" s="23" t="inlineStr">
        <is>
          <t>کاشان</t>
        </is>
      </c>
      <c r="B24" s="14" t="n">
        <v>15</v>
      </c>
      <c r="C24" s="14" t="n">
        <v>1395</v>
      </c>
      <c r="D24" s="14" t="n">
        <v>9765</v>
      </c>
      <c r="E24" s="14" t="n">
        <v>2790</v>
      </c>
      <c r="F24" s="14" t="n">
        <v>135</v>
      </c>
      <c r="G24" s="14" t="n">
        <v>3</v>
      </c>
      <c r="H24" s="14" t="n">
        <v>22</v>
      </c>
    </row>
    <row r="25">
      <c r="A25" s="23" t="inlineStr">
        <is>
          <t>کوهپایه</t>
        </is>
      </c>
      <c r="B25" s="14" t="n">
        <v>4</v>
      </c>
      <c r="C25" s="14" t="n">
        <v>372</v>
      </c>
      <c r="D25" s="14" t="n">
        <v>2604</v>
      </c>
      <c r="E25" s="14" t="n">
        <v>744</v>
      </c>
      <c r="F25" s="14" t="n">
        <v>36</v>
      </c>
      <c r="G25" s="14" t="n">
        <v>3</v>
      </c>
      <c r="H25" s="14" t="n">
        <v>22</v>
      </c>
    </row>
    <row r="26">
      <c r="A26" s="23" t="inlineStr">
        <is>
          <t>گلپایگان</t>
        </is>
      </c>
      <c r="B26" s="14" t="n">
        <v>5</v>
      </c>
      <c r="C26" s="14" t="n">
        <v>465</v>
      </c>
      <c r="D26" s="14" t="n">
        <v>3255</v>
      </c>
      <c r="E26" s="14" t="n">
        <v>930</v>
      </c>
      <c r="F26" s="14" t="n">
        <v>45</v>
      </c>
      <c r="G26" s="14" t="n">
        <v>3</v>
      </c>
      <c r="H26" s="14" t="n">
        <v>22</v>
      </c>
    </row>
    <row r="27">
      <c r="A27" s="23" t="inlineStr">
        <is>
          <t>لنجان</t>
        </is>
      </c>
      <c r="B27" s="14" t="n">
        <v>12</v>
      </c>
      <c r="C27" s="14" t="n">
        <v>1116</v>
      </c>
      <c r="D27" s="14" t="n">
        <v>7812</v>
      </c>
      <c r="E27" s="14" t="n">
        <v>2232</v>
      </c>
      <c r="F27" s="14" t="n">
        <v>108</v>
      </c>
      <c r="G27" s="14" t="n">
        <v>3</v>
      </c>
      <c r="H27" s="14" t="n">
        <v>22</v>
      </c>
    </row>
    <row r="28">
      <c r="A28" s="23" t="inlineStr">
        <is>
          <t>مبارکه</t>
        </is>
      </c>
      <c r="B28" s="14" t="n">
        <v>8</v>
      </c>
      <c r="C28" s="14" t="n">
        <v>744</v>
      </c>
      <c r="D28" s="14" t="n">
        <v>5208</v>
      </c>
      <c r="E28" s="14" t="n">
        <v>1488</v>
      </c>
      <c r="F28" s="14" t="n">
        <v>72</v>
      </c>
      <c r="G28" s="14" t="n">
        <v>3</v>
      </c>
      <c r="H28" s="14" t="n">
        <v>22</v>
      </c>
    </row>
    <row r="29">
      <c r="A29" s="23" t="inlineStr">
        <is>
          <t>نایین</t>
        </is>
      </c>
      <c r="B29" s="14" t="n">
        <v>4</v>
      </c>
      <c r="C29" s="14" t="n">
        <v>372</v>
      </c>
      <c r="D29" s="14" t="n">
        <v>2604</v>
      </c>
      <c r="E29" s="14" t="n">
        <v>744</v>
      </c>
      <c r="F29" s="14" t="n">
        <v>36</v>
      </c>
      <c r="G29" s="14" t="n">
        <v>3</v>
      </c>
      <c r="H29" s="14" t="n">
        <v>22</v>
      </c>
    </row>
    <row r="30">
      <c r="A30" s="23" t="inlineStr">
        <is>
          <t>نجف آباد</t>
        </is>
      </c>
      <c r="B30" s="14" t="n">
        <v>14</v>
      </c>
      <c r="C30" s="14" t="n">
        <v>1302</v>
      </c>
      <c r="D30" s="14" t="n">
        <v>9114</v>
      </c>
      <c r="E30" s="14" t="n">
        <v>2604</v>
      </c>
      <c r="F30" s="14" t="n">
        <v>126</v>
      </c>
      <c r="G30" s="14" t="n">
        <v>3</v>
      </c>
      <c r="H30" s="14" t="n">
        <v>22</v>
      </c>
    </row>
    <row r="31">
      <c r="A31" s="23" t="inlineStr">
        <is>
          <t>نطنز</t>
        </is>
      </c>
      <c r="B31" s="14" t="n">
        <v>4</v>
      </c>
      <c r="C31" s="14" t="n">
        <v>372</v>
      </c>
      <c r="D31" s="14" t="n">
        <v>2604</v>
      </c>
      <c r="E31" s="14" t="n">
        <v>744</v>
      </c>
      <c r="F31" s="14" t="n">
        <v>36</v>
      </c>
      <c r="G31" s="14" t="n">
        <v>3</v>
      </c>
      <c r="H31" s="14" t="n">
        <v>22</v>
      </c>
    </row>
    <row r="32">
      <c r="A32" s="23" t="inlineStr">
        <is>
          <t>ورزنه</t>
        </is>
      </c>
      <c r="B32" s="14" t="n">
        <v>2</v>
      </c>
      <c r="C32" s="14" t="n">
        <v>186</v>
      </c>
      <c r="D32" s="14" t="n">
        <v>1302</v>
      </c>
      <c r="E32" s="14" t="n">
        <v>372</v>
      </c>
      <c r="F32" s="14" t="n">
        <v>18</v>
      </c>
      <c r="G32" s="14" t="n">
        <v>3</v>
      </c>
      <c r="H32" s="14" t="n">
        <v>22</v>
      </c>
    </row>
    <row r="33">
      <c r="A33" s="23" t="inlineStr">
        <is>
          <t>هرند</t>
        </is>
      </c>
      <c r="B33" s="14" t="n">
        <v>4</v>
      </c>
      <c r="C33" s="14" t="n">
        <v>372</v>
      </c>
      <c r="D33" s="14" t="n">
        <v>2604</v>
      </c>
      <c r="E33" s="14" t="n">
        <v>744</v>
      </c>
      <c r="F33" s="14" t="n">
        <v>36</v>
      </c>
      <c r="G33" s="14" t="n">
        <v>3</v>
      </c>
      <c r="H33" s="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2026-09-24T09:58:13Z</dcterms:created>
  <dcterms:modified xsi:type="dcterms:W3CDTF">2026-10-08T09:24:12Z</dcterms:modified>
</cp:coreProperties>
</file>