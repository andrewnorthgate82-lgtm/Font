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داشبورد مانیتورینگ نواحی" sheetId="1" state="visible" r:id="rId1"/>
    <sheet name="کارنامه هوشمند" sheetId="2" state="visible" r:id="rId2"/>
    <sheet name="گزارش عملکرد ماهانه" sheetId="3" state="visible" r:id="rId3"/>
    <sheet name="پایگاه داده حد انتظا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1">
    <font>
      <name val="Arial"/>
      <color rgb="FF000000"/>
      <sz val="10"/>
      <scheme val="minor"/>
    </font>
    <font>
      <name val="Montserrat"/>
      <b val="1"/>
      <color rgb="FFFFFFFF"/>
      <sz val="11"/>
    </font>
    <font>
      <name val="Roboto"/>
      <color rgb="FF181C1F"/>
      <sz val="10"/>
    </font>
    <font>
      <name val="IRANSans"/>
      <b val="1"/>
      <color rgb="00FFFFFF"/>
      <sz val="15"/>
    </font>
    <font>
      <name val="IRANSans"/>
      <color rgb="00ECF0F1"/>
      <sz val="10"/>
    </font>
    <font>
      <name val="IRANSans"/>
      <b val="1"/>
      <color rgb="0034495E"/>
      <sz val="9.5"/>
    </font>
    <font>
      <name val="IRANSans"/>
      <b val="1"/>
      <color rgb="001B365D"/>
      <sz val="12.5"/>
    </font>
    <font>
      <name val="IRANSans"/>
      <color rgb="005D6D7E"/>
      <sz val="8.5"/>
    </font>
    <font>
      <name val="IRANSans"/>
      <b val="1"/>
      <color rgb="001A5276"/>
      <sz val="15"/>
    </font>
    <font>
      <name val="IRANSans"/>
      <b val="1"/>
      <color rgb="00196F3D"/>
      <sz val="13"/>
    </font>
    <font>
      <name val="IRANSans"/>
      <b val="1"/>
      <color rgb="007D6608"/>
      <sz val="13"/>
    </font>
    <font>
      <name val="IRANSans"/>
      <b val="1"/>
      <color rgb="005B2C6F"/>
      <sz val="11"/>
    </font>
    <font>
      <name val="IRANSans"/>
      <b val="1"/>
      <color rgb="00FFFFFF"/>
      <sz val="11"/>
    </font>
    <font>
      <name val="IRANSans"/>
      <b val="1"/>
      <color rgb="00FFFFFF"/>
      <sz val="9.5"/>
    </font>
    <font>
      <name val="IRANSans"/>
      <color rgb="00181C1F"/>
      <sz val="9"/>
    </font>
    <font>
      <name val="IRANSans"/>
      <b val="1"/>
      <color rgb="00181C1F"/>
      <sz val="9"/>
    </font>
    <font>
      <name val="IRANSans"/>
      <b val="1"/>
      <color rgb="00FFFFFF"/>
      <sz val="10"/>
    </font>
    <font>
      <name val="IRANSans"/>
      <b val="1"/>
      <color rgb="001B365D"/>
      <sz val="9.5"/>
    </font>
    <font>
      <name val="IRANSans"/>
      <b val="1"/>
      <color rgb="000E6251"/>
      <sz val="9"/>
    </font>
    <font>
      <name val="IRANSans"/>
      <b val="1"/>
      <color rgb="0078281F"/>
      <sz val="9"/>
    </font>
    <font>
      <name val="IRANSans"/>
      <b val="1"/>
      <color rgb="001B365D"/>
      <sz val="10.5"/>
    </font>
    <font>
      <name val="IRANSans"/>
      <i val="1"/>
      <color rgb="00555555"/>
      <sz val="8.5"/>
    </font>
    <font>
      <name val="IRANSans"/>
      <b val="1"/>
      <color rgb="001B4F72"/>
      <sz val="9.5"/>
      <u val="single"/>
    </font>
    <font>
      <name val="IRANSans"/>
      <b val="1"/>
      <color rgb="00196F3D"/>
      <sz val="9.5"/>
      <u val="single"/>
    </font>
    <font>
      <name val="IRANSans"/>
      <b val="1"/>
      <color rgb="007D6608"/>
      <sz val="9.5"/>
      <u val="single"/>
    </font>
    <font>
      <name val="IRANSans"/>
      <b val="1"/>
      <color rgb="00181C1F"/>
      <sz val="10"/>
    </font>
    <font>
      <name val="IRANSans"/>
      <b val="1"/>
      <color rgb="001B365D"/>
      <sz val="10"/>
    </font>
    <font>
      <name val="IRANSans"/>
      <b val="1"/>
      <color rgb="001B365D"/>
      <sz val="11"/>
    </font>
    <font>
      <name val="IRANSans"/>
      <b val="1"/>
      <color rgb="001F4E79"/>
      <sz val="11"/>
    </font>
    <font>
      <name val="IRANSans"/>
      <b val="1"/>
      <color rgb="00843B62"/>
      <sz val="11"/>
    </font>
    <font>
      <name val="IRANSans"/>
      <i val="1"/>
      <color rgb="00555555"/>
      <sz val="10"/>
    </font>
  </fonts>
  <fills count="29">
    <fill>
      <patternFill/>
    </fill>
    <fill>
      <patternFill patternType="lightGray"/>
    </fill>
    <fill>
      <patternFill patternType="solid">
        <fgColor rgb="FF3B5F90"/>
        <bgColor rgb="FF3B5F90"/>
      </patternFill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F2F4F7"/>
        <bgColor rgb="00F2F4F7"/>
      </patternFill>
    </fill>
    <fill>
      <patternFill patternType="solid">
        <fgColor rgb="00EBF5FB"/>
        <bgColor rgb="00EBF5FB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5EEF8"/>
        <bgColor rgb="00F5EEF8"/>
      </patternFill>
    </fill>
    <fill>
      <patternFill patternType="solid">
        <fgColor rgb="001F4E79"/>
        <bgColor rgb="001F4E79"/>
      </patternFill>
    </fill>
    <fill>
      <patternFill patternType="solid">
        <fgColor rgb="003B5F90"/>
        <bgColor rgb="003B5F9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17864"/>
        <bgColor rgb="00117864"/>
      </patternFill>
    </fill>
    <fill>
      <patternFill patternType="solid">
        <fgColor rgb="0016A085"/>
        <bgColor rgb="0016A085"/>
      </patternFill>
    </fill>
    <fill>
      <patternFill patternType="solid">
        <fgColor rgb="00C0392B"/>
        <bgColor rgb="00C0392B"/>
      </patternFill>
    </fill>
    <fill>
      <patternFill patternType="solid">
        <fgColor rgb="00E74C3C"/>
        <bgColor rgb="00E74C3C"/>
      </patternFill>
    </fill>
    <fill>
      <patternFill patternType="solid">
        <fgColor rgb="002E4053"/>
        <bgColor rgb="002E4053"/>
      </patternFill>
    </fill>
    <fill>
      <patternFill patternType="solid">
        <fgColor rgb="002874A6"/>
        <bgColor rgb="002874A6"/>
      </patternFill>
    </fill>
    <fill>
      <patternFill patternType="solid">
        <fgColor rgb="007D6608"/>
        <bgColor rgb="007D6608"/>
      </patternFill>
    </fill>
    <fill>
      <patternFill patternType="solid">
        <fgColor rgb="00512E5F"/>
        <bgColor rgb="00512E5F"/>
      </patternFill>
    </fill>
    <fill>
      <patternFill patternType="solid">
        <fgColor rgb="0034495E"/>
        <bgColor rgb="0034495E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EAECEE"/>
        <bgColor rgb="00EAECEE"/>
      </patternFill>
    </fill>
    <fill>
      <patternFill patternType="solid">
        <fgColor rgb="0027AE60"/>
        <bgColor rgb="0027AE60"/>
      </patternFill>
    </fill>
    <fill>
      <patternFill patternType="solid">
        <fgColor rgb="00EBF1F5"/>
        <bgColor rgb="00EBF1F5"/>
      </patternFill>
    </fill>
    <fill>
      <patternFill patternType="solid">
        <fgColor rgb="00FFF2CC"/>
        <bgColor rgb="00FFF2CC"/>
      </patternFill>
    </fill>
  </fills>
  <borders count="45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00BDC3C7"/>
      </left>
      <right style="thin">
        <color rgb="00BDC3C7"/>
      </right>
      <top style="medium">
        <color rgb="001B365D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2980B9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27AE60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D4AC0D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8E44AD"/>
      </top>
      <bottom style="thin">
        <color rgb="00BDC3C7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double">
        <color rgb="00FFFFFF"/>
      </bottom>
    </border>
    <border>
      <top style="medium">
        <color rgb="0027AE60"/>
      </top>
    </border>
    <border>
      <right style="thin">
        <color rgb="00BDC3C7"/>
      </right>
      <top style="medium">
        <color rgb="0027AE60"/>
      </top>
    </border>
    <border>
      <top style="medium">
        <color rgb="0027AE60"/>
      </top>
      <bottom style="thin">
        <color rgb="00BDC3C7"/>
      </bottom>
    </border>
    <border>
      <right style="thin">
        <color rgb="00BDC3C7"/>
      </right>
      <top style="medium">
        <color rgb="0027AE60"/>
      </top>
      <bottom style="thin">
        <color rgb="00BDC3C7"/>
      </bottom>
    </border>
    <border>
      <top style="medium">
        <color rgb="00D4AC0D"/>
      </top>
    </border>
    <border>
      <right style="thin">
        <color rgb="00BDC3C7"/>
      </right>
      <top style="medium">
        <color rgb="00D4AC0D"/>
      </top>
    </border>
    <border>
      <top style="medium">
        <color rgb="00D4AC0D"/>
      </top>
      <bottom style="thin">
        <color rgb="00BDC3C7"/>
      </bottom>
    </border>
    <border>
      <right style="thin">
        <color rgb="00BDC3C7"/>
      </right>
      <top style="medium">
        <color rgb="00D4AC0D"/>
      </top>
      <bottom style="thin">
        <color rgb="00BDC3C7"/>
      </bottom>
    </border>
    <border>
      <top style="thin">
        <color rgb="00D5D8DC"/>
      </top>
    </border>
    <border>
      <right style="thin">
        <color rgb="00D5D8DC"/>
      </right>
      <top style="thin">
        <color rgb="00D5D8DC"/>
      </top>
    </border>
    <border>
      <top style="thin">
        <color rgb="00D5D8DC"/>
      </top>
      <bottom style="thin">
        <color rgb="00D5D8DC"/>
      </bottom>
    </border>
    <border>
      <right style="thin">
        <color rgb="00D5D8DC"/>
      </right>
      <top style="thin">
        <color rgb="00D5D8DC"/>
      </top>
      <bottom style="thin">
        <color rgb="00D5D8DC"/>
      </bottom>
    </border>
    <border>
      <top style="thin">
        <color rgb="00BDC3C7"/>
      </top>
    </border>
    <border>
      <right style="thin">
        <color rgb="00BDC3C7"/>
      </right>
      <top style="thin">
        <color rgb="00BDC3C7"/>
      </top>
    </border>
    <border>
      <top style="thin">
        <color rgb="00BDC3C7"/>
      </top>
      <bottom style="thin">
        <color rgb="00BDC3C7"/>
      </bottom>
    </border>
    <border>
      <right style="thin">
        <color rgb="00BDC3C7"/>
      </right>
      <top style="thin">
        <color rgb="00BDC3C7"/>
      </top>
      <bottom style="thin">
        <color rgb="00BDC3C7"/>
      </bottom>
    </border>
    <border>
      <top style="medium">
        <color rgb="002980B9"/>
      </top>
    </border>
    <border>
      <right style="thin">
        <color rgb="00BDC3C7"/>
      </right>
      <top style="medium">
        <color rgb="002980B9"/>
      </top>
    </border>
    <border>
      <top style="medium">
        <color rgb="002980B9"/>
      </top>
      <bottom style="thin">
        <color rgb="00BDC3C7"/>
      </bottom>
    </border>
    <border>
      <right style="thin">
        <color rgb="00BDC3C7"/>
      </right>
      <top style="medium">
        <color rgb="002980B9"/>
      </top>
      <bottom style="thin">
        <color rgb="00BDC3C7"/>
      </bottom>
    </border>
    <border>
      <top style="medium">
        <color rgb="001B365D"/>
      </top>
    </border>
    <border>
      <right style="thin">
        <color rgb="00BDC3C7"/>
      </right>
      <top style="medium">
        <color rgb="001B365D"/>
      </top>
    </border>
    <border>
      <top style="medium">
        <color rgb="001B365D"/>
      </top>
      <bottom style="thin">
        <color rgb="00BDC3C7"/>
      </bottom>
    </border>
    <border>
      <right style="thin">
        <color rgb="00BDC3C7"/>
      </right>
      <top style="medium">
        <color rgb="001B365D"/>
      </top>
      <bottom style="thin">
        <color rgb="00BDC3C7"/>
      </bottom>
    </border>
    <border>
      <top style="medium">
        <color rgb="008E44AD"/>
      </top>
    </border>
    <border>
      <right style="thin">
        <color rgb="00BDC3C7"/>
      </right>
      <top style="medium">
        <color rgb="008E44AD"/>
      </top>
    </border>
    <border>
      <top style="medium">
        <color rgb="008E44AD"/>
      </top>
      <bottom style="thin">
        <color rgb="00BDC3C7"/>
      </bottom>
    </border>
    <border>
      <right style="thin">
        <color rgb="00BDC3C7"/>
      </right>
      <top style="medium">
        <color rgb="008E44AD"/>
      </top>
      <bottom style="thin">
        <color rgb="00BDC3C7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medium">
        <color rgb="001E8449"/>
      </left>
      <right style="medium">
        <color rgb="001E8449"/>
      </right>
      <top style="medium">
        <color rgb="001E8449"/>
      </top>
      <bottom style="medium">
        <color rgb="001E8449"/>
      </bottom>
    </border>
    <border>
      <top style="medium">
        <color rgb="001E8449"/>
      </top>
    </border>
    <border>
      <right style="medium">
        <color rgb="001E8449"/>
      </right>
      <top style="medium">
        <color rgb="001E8449"/>
      </top>
    </border>
    <border>
      <right style="medium">
        <color rgb="001E8449"/>
      </right>
      <top style="medium">
        <color rgb="001E8449"/>
      </top>
      <bottom style="medium">
        <color rgb="001E8449"/>
      </bottom>
    </border>
    <border>
      <right style="medium">
        <color rgb="001B365D"/>
      </right>
      <top style="medium">
        <color rgb="001B365D"/>
      </top>
    </border>
    <border>
      <right style="medium">
        <color rgb="001B365D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14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0" fillId="9" borderId="7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164" fontId="8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0" fillId="9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right" vertical="center" wrapText="1"/>
    </xf>
    <xf numFmtId="0" fontId="13" fillId="11" borderId="8" applyAlignment="1" pivotButton="0" quotePrefix="0" xfId="0">
      <alignment horizontal="center" vertical="center" wrapText="1"/>
    </xf>
    <xf numFmtId="0" fontId="14" fillId="12" borderId="8" applyAlignment="1" pivotButton="0" quotePrefix="0" xfId="0">
      <alignment horizontal="center" vertical="center" wrapText="1"/>
    </xf>
    <xf numFmtId="0" fontId="14" fillId="12" borderId="8" applyAlignment="1" pivotButton="0" quotePrefix="0" xfId="0">
      <alignment horizontal="right" vertical="center" wrapText="1"/>
    </xf>
    <xf numFmtId="3" fontId="14" fillId="12" borderId="8" applyAlignment="1" pivotButton="0" quotePrefix="0" xfId="0">
      <alignment horizontal="center" vertical="center" wrapText="1"/>
    </xf>
    <xf numFmtId="164" fontId="15" fillId="12" borderId="8" applyAlignment="1" pivotButton="0" quotePrefix="0" xfId="0">
      <alignment horizontal="center" vertical="center" wrapText="1"/>
    </xf>
    <xf numFmtId="0" fontId="14" fillId="13" borderId="8" applyAlignment="1" pivotButton="0" quotePrefix="0" xfId="0">
      <alignment horizontal="center" vertical="center" wrapText="1"/>
    </xf>
    <xf numFmtId="0" fontId="14" fillId="13" borderId="8" applyAlignment="1" pivotButton="0" quotePrefix="0" xfId="0">
      <alignment horizontal="right" vertical="center" wrapText="1"/>
    </xf>
    <xf numFmtId="3" fontId="14" fillId="13" borderId="8" applyAlignment="1" pivotButton="0" quotePrefix="0" xfId="0">
      <alignment horizontal="center" vertical="center" wrapText="1"/>
    </xf>
    <xf numFmtId="164" fontId="15" fillId="13" borderId="8" applyAlignment="1" pivotButton="0" quotePrefix="0" xfId="0">
      <alignment horizontal="center" vertical="center" wrapText="1"/>
    </xf>
    <xf numFmtId="0" fontId="13" fillId="3" borderId="9" applyAlignment="1" pivotButton="0" quotePrefix="0" xfId="0">
      <alignment horizontal="center" vertical="center" wrapText="1"/>
    </xf>
    <xf numFmtId="0" fontId="13" fillId="3" borderId="9" applyAlignment="1" pivotButton="0" quotePrefix="0" xfId="0">
      <alignment horizontal="right" vertical="center" wrapText="1"/>
    </xf>
    <xf numFmtId="3" fontId="13" fillId="3" borderId="9" applyAlignment="1" pivotButton="0" quotePrefix="0" xfId="0">
      <alignment horizontal="center" vertical="center" wrapText="1"/>
    </xf>
    <xf numFmtId="164" fontId="13" fillId="3" borderId="9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right" vertical="center" wrapText="1"/>
    </xf>
    <xf numFmtId="0" fontId="12" fillId="16" borderId="0" applyAlignment="1" pivotButton="0" quotePrefix="0" xfId="0">
      <alignment horizontal="right" vertical="center" wrapText="1"/>
    </xf>
    <xf numFmtId="0" fontId="13" fillId="15" borderId="8" applyAlignment="1" pivotButton="0" quotePrefix="0" xfId="0">
      <alignment horizontal="center" vertical="center" wrapText="1"/>
    </xf>
    <xf numFmtId="0" fontId="13" fillId="17" borderId="8" applyAlignment="1" pivotButton="0" quotePrefix="0" xfId="0">
      <alignment horizontal="center" vertical="center" wrapText="1"/>
    </xf>
    <xf numFmtId="49" fontId="15" fillId="12" borderId="8" applyAlignment="1" pivotButton="0" quotePrefix="0" xfId="0">
      <alignment horizontal="center" vertical="center" wrapText="1"/>
    </xf>
    <xf numFmtId="49" fontId="14" fillId="12" borderId="8" applyAlignment="1" pivotButton="0" quotePrefix="0" xfId="0">
      <alignment horizontal="right" vertical="center" wrapText="1"/>
    </xf>
    <xf numFmtId="49" fontId="14" fillId="12" borderId="8" applyAlignment="1" pivotButton="0" quotePrefix="0" xfId="0">
      <alignment horizontal="center" vertical="center" wrapText="1"/>
    </xf>
    <xf numFmtId="164" fontId="14" fillId="12" borderId="8" applyAlignment="1" pivotButton="0" quotePrefix="0" xfId="0">
      <alignment horizontal="center" vertical="center" wrapText="1"/>
    </xf>
    <xf numFmtId="49" fontId="15" fillId="13" borderId="8" applyAlignment="1" pivotButton="0" quotePrefix="0" xfId="0">
      <alignment horizontal="center" vertical="center" wrapText="1"/>
    </xf>
    <xf numFmtId="49" fontId="14" fillId="13" borderId="8" applyAlignment="1" pivotButton="0" quotePrefix="0" xfId="0">
      <alignment horizontal="right" vertical="center" wrapText="1"/>
    </xf>
    <xf numFmtId="49" fontId="14" fillId="13" borderId="8" applyAlignment="1" pivotButton="0" quotePrefix="0" xfId="0">
      <alignment horizontal="center" vertical="center" wrapText="1"/>
    </xf>
    <xf numFmtId="164" fontId="14" fillId="13" borderId="8" applyAlignment="1" pivotButton="0" quotePrefix="0" xfId="0">
      <alignment horizontal="center" vertical="center" wrapText="1"/>
    </xf>
    <xf numFmtId="0" fontId="16" fillId="18" borderId="8" applyAlignment="1" pivotButton="0" quotePrefix="0" xfId="0">
      <alignment horizontal="center" vertical="center" wrapText="1"/>
    </xf>
    <xf numFmtId="0" fontId="0" fillId="18" borderId="8" pivotButton="0" quotePrefix="0" xfId="0"/>
    <xf numFmtId="0" fontId="16" fillId="10" borderId="8" applyAlignment="1" pivotButton="0" quotePrefix="0" xfId="0">
      <alignment horizontal="center" vertical="center" wrapText="1"/>
    </xf>
    <xf numFmtId="0" fontId="0" fillId="10" borderId="8" pivotButton="0" quotePrefix="0" xfId="0"/>
    <xf numFmtId="0" fontId="16" fillId="19" borderId="8" applyAlignment="1" pivotButton="0" quotePrefix="0" xfId="0">
      <alignment horizontal="center" vertical="center" wrapText="1"/>
    </xf>
    <xf numFmtId="0" fontId="0" fillId="19" borderId="8" pivotButton="0" quotePrefix="0" xfId="0"/>
    <xf numFmtId="0" fontId="16" fillId="14" borderId="8" applyAlignment="1" pivotButton="0" quotePrefix="0" xfId="0">
      <alignment horizontal="center" vertical="center" wrapText="1"/>
    </xf>
    <xf numFmtId="0" fontId="0" fillId="14" borderId="8" pivotButton="0" quotePrefix="0" xfId="0"/>
    <xf numFmtId="0" fontId="16" fillId="20" borderId="8" applyAlignment="1" pivotButton="0" quotePrefix="0" xfId="0">
      <alignment horizontal="center" vertical="center" wrapText="1"/>
    </xf>
    <xf numFmtId="0" fontId="0" fillId="20" borderId="8" pivotButton="0" quotePrefix="0" xfId="0"/>
    <xf numFmtId="0" fontId="16" fillId="21" borderId="8" applyAlignment="1" pivotButton="0" quotePrefix="0" xfId="0">
      <alignment horizontal="center" vertical="center" wrapText="1"/>
    </xf>
    <xf numFmtId="0" fontId="0" fillId="21" borderId="8" pivotButton="0" quotePrefix="0" xfId="0"/>
    <xf numFmtId="0" fontId="16" fillId="22" borderId="8" applyAlignment="1" pivotButton="0" quotePrefix="0" xfId="0">
      <alignment horizontal="center" vertical="center" wrapText="1"/>
    </xf>
    <xf numFmtId="0" fontId="16" fillId="3" borderId="8" applyAlignment="1" pivotButton="0" quotePrefix="0" xfId="0">
      <alignment horizontal="center" vertical="center" wrapText="1"/>
    </xf>
    <xf numFmtId="0" fontId="0" fillId="3" borderId="8" pivotButton="0" quotePrefix="0" xfId="0"/>
    <xf numFmtId="49" fontId="15" fillId="12" borderId="8" applyAlignment="1" pivotButton="0" quotePrefix="0" xfId="0">
      <alignment horizontal="right" vertical="center" wrapText="1"/>
    </xf>
    <xf numFmtId="3" fontId="15" fillId="12" borderId="8" applyAlignment="1" pivotButton="0" quotePrefix="0" xfId="0">
      <alignment horizontal="center" vertical="center" wrapText="1"/>
    </xf>
    <xf numFmtId="164" fontId="17" fillId="12" borderId="8" applyAlignment="1" pivotButton="0" quotePrefix="0" xfId="0">
      <alignment horizontal="center" vertical="center" wrapText="1"/>
    </xf>
    <xf numFmtId="49" fontId="15" fillId="13" borderId="8" applyAlignment="1" pivotButton="0" quotePrefix="0" xfId="0">
      <alignment horizontal="right" vertical="center" wrapText="1"/>
    </xf>
    <xf numFmtId="3" fontId="15" fillId="13" borderId="8" applyAlignment="1" pivotButton="0" quotePrefix="0" xfId="0">
      <alignment horizontal="center" vertical="center" wrapText="1"/>
    </xf>
    <xf numFmtId="164" fontId="17" fillId="13" borderId="8" applyAlignment="1" pivotButton="0" quotePrefix="0" xfId="0">
      <alignment horizontal="center" vertical="center" wrapText="1"/>
    </xf>
    <xf numFmtId="49" fontId="13" fillId="3" borderId="9" applyAlignment="1" pivotButton="0" quotePrefix="0" xfId="0">
      <alignment horizontal="center" vertical="center" wrapText="1"/>
    </xf>
    <xf numFmtId="49" fontId="13" fillId="3" borderId="9" applyAlignment="1" pivotButton="0" quotePrefix="0" xfId="0">
      <alignment horizontal="right" vertical="center" wrapText="1"/>
    </xf>
    <xf numFmtId="49" fontId="13" fillId="22" borderId="8" applyAlignment="1" pivotButton="0" quotePrefix="0" xfId="0">
      <alignment horizontal="center" vertical="center" wrapText="1"/>
    </xf>
    <xf numFmtId="49" fontId="13" fillId="22" borderId="8" applyAlignment="1" pivotButton="0" quotePrefix="0" xfId="0">
      <alignment horizontal="right" vertical="center" wrapText="1"/>
    </xf>
    <xf numFmtId="165" fontId="13" fillId="22" borderId="8" applyAlignment="1" pivotButton="0" quotePrefix="0" xfId="0">
      <alignment horizontal="center" vertical="center" wrapText="1"/>
    </xf>
    <xf numFmtId="164" fontId="13" fillId="22" borderId="8" applyAlignment="1" pivotButton="0" quotePrefix="0" xfId="0">
      <alignment horizontal="center" vertical="center" wrapText="1"/>
    </xf>
    <xf numFmtId="49" fontId="18" fillId="23" borderId="8" applyAlignment="1" pivotButton="0" quotePrefix="0" xfId="0">
      <alignment horizontal="center" vertical="center" wrapText="1"/>
    </xf>
    <xf numFmtId="49" fontId="18" fillId="23" borderId="8" applyAlignment="1" pivotButton="0" quotePrefix="0" xfId="0">
      <alignment horizontal="right" vertical="center" wrapText="1"/>
    </xf>
    <xf numFmtId="3" fontId="18" fillId="23" borderId="8" applyAlignment="1" pivotButton="0" quotePrefix="0" xfId="0">
      <alignment horizontal="center" vertical="center" wrapText="1"/>
    </xf>
    <xf numFmtId="164" fontId="18" fillId="23" borderId="8" applyAlignment="1" pivotButton="0" quotePrefix="0" xfId="0">
      <alignment horizontal="center" vertical="center" wrapText="1"/>
    </xf>
    <xf numFmtId="49" fontId="19" fillId="24" borderId="8" applyAlignment="1" pivotButton="0" quotePrefix="0" xfId="0">
      <alignment horizontal="center" vertical="center" wrapText="1"/>
    </xf>
    <xf numFmtId="49" fontId="19" fillId="24" borderId="8" applyAlignment="1" pivotButton="0" quotePrefix="0" xfId="0">
      <alignment horizontal="right" vertical="center" wrapText="1"/>
    </xf>
    <xf numFmtId="3" fontId="19" fillId="24" borderId="8" applyAlignment="1" pivotButton="0" quotePrefix="0" xfId="0">
      <alignment horizontal="center" vertical="center" wrapText="1"/>
    </xf>
    <xf numFmtId="164" fontId="19" fillId="24" borderId="8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right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7" borderId="8" applyAlignment="1" pivotButton="0" quotePrefix="0" xfId="0">
      <alignment horizontal="center" vertical="center" wrapText="1"/>
    </xf>
    <xf numFmtId="0" fontId="24" fillId="8" borderId="8" applyAlignment="1" pivotButton="0" quotePrefix="0" xfId="0">
      <alignment horizontal="center" vertical="center" wrapText="1"/>
    </xf>
    <xf numFmtId="0" fontId="22" fillId="0" borderId="0" pivotButton="0" quotePrefix="0" xfId="0"/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right" vertical="center" wrapText="1"/>
    </xf>
    <xf numFmtId="0" fontId="26" fillId="25" borderId="8" applyAlignment="1" pivotButton="0" quotePrefix="0" xfId="0">
      <alignment horizontal="center"/>
    </xf>
    <xf numFmtId="164" fontId="27" fillId="0" borderId="8" applyAlignment="1" pivotButton="0" quotePrefix="0" xfId="0">
      <alignment horizontal="center" vertical="center" wrapText="1"/>
    </xf>
    <xf numFmtId="0" fontId="25" fillId="12" borderId="8" applyAlignment="1" pivotButton="0" quotePrefix="0" xfId="0">
      <alignment horizontal="right" vertical="center" wrapText="1"/>
    </xf>
    <xf numFmtId="49" fontId="26" fillId="0" borderId="8" applyAlignment="1" pivotButton="0" quotePrefix="0" xfId="0">
      <alignment horizontal="center" vertical="center" wrapText="1"/>
    </xf>
    <xf numFmtId="3" fontId="26" fillId="0" borderId="8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21" pivotButton="0" quotePrefix="0" xfId="0"/>
    <xf numFmtId="0" fontId="4" fillId="4" borderId="0" applyAlignment="1" pivotButton="0" quotePrefix="0" xfId="0">
      <alignment horizontal="right" vertical="center"/>
    </xf>
    <xf numFmtId="0" fontId="16" fillId="26" borderId="39" applyAlignment="1" pivotButton="0" quotePrefix="0" xfId="0">
      <alignment horizontal="center" vertical="center"/>
    </xf>
    <xf numFmtId="0" fontId="16" fillId="10" borderId="38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4" pivotButton="0" quotePrefix="0" xfId="0"/>
    <xf numFmtId="0" fontId="28" fillId="27" borderId="3" applyAlignment="1" pivotButton="0" quotePrefix="0" xfId="0">
      <alignment horizontal="center" vertical="center"/>
    </xf>
    <xf numFmtId="0" fontId="29" fillId="28" borderId="3" applyAlignment="1" pivotButton="0" quotePrefix="0" xfId="0">
      <alignment horizontal="center" vertical="center"/>
    </xf>
    <xf numFmtId="0" fontId="30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28" fillId="0" borderId="0" pivotButton="0" quotePrefix="0" xfId="0"/>
    <xf numFmtId="0" fontId="29" fillId="0" borderId="0" pivotButton="0" quotePrefix="0" xfId="0"/>
    <xf numFmtId="164" fontId="26" fillId="0" borderId="8" applyAlignment="1" pivotButton="0" quotePrefix="0" xfId="0">
      <alignment horizontal="center" vertical="center" wrapText="1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name val="IRANSans"/>
        <b val="1"/>
        <color rgb="00155724"/>
      </font>
      <fill>
        <patternFill patternType="solid">
          <fgColor rgb="00D4EDDA"/>
          <bgColor rgb="00D4EDDA"/>
        </patternFill>
      </fill>
    </dxf>
    <dxf>
      <font>
        <name val="IRANSans"/>
        <b val="1"/>
        <color rgb="000C5460"/>
      </font>
      <fill>
        <patternFill patternType="solid">
          <fgColor rgb="00D1ECF1"/>
          <bgColor rgb="00D1ECF1"/>
        </patternFill>
      </fill>
    </dxf>
    <dxf>
      <font>
        <name val="IRANSans"/>
        <b val="1"/>
        <color rgb="00856404"/>
      </font>
      <fill>
        <patternFill patternType="solid">
          <fgColor rgb="00FFF3CD"/>
          <bgColor rgb="00FFF3CD"/>
        </patternFill>
      </fill>
    </dxf>
    <dxf>
      <font>
        <name val="IRANSans"/>
        <b val="1"/>
        <color rgb="00721C24"/>
      </font>
      <fill>
        <patternFill patternType="solid">
          <fgColor rgb="00F8D7DA"/>
          <bgColor rgb="00F8D7DA"/>
        </patternFill>
      </fill>
    </dxf>
  </dxfs>
  <tableStyles count="3" defaultTableStyle="TableStyleMedium9" defaultPivotStyle="PivotStyleLight16">
    <tableStyle name="پایگاه داده حد انتظار-style" pivot="0" count="2">
      <tableStyleElement type="firstRowStripe" dxfId="1"/>
      <tableStyleElement type="secondRowStripe" dxfId="2"/>
    </tableStyle>
    <tableStyle name="کارنامه هوشمند-style" pivot="0" count="2">
      <tableStyleElement type="firstRowStripe" dxfId="1"/>
      <tableStyleElement type="secondRowStripe" dxfId="2"/>
    </tableStyle>
    <tableStyle name="گزارش عملکرد ماهانه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درصد تحقق شاخص‌های کلان استان اصفهان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'داشبورد مانیتورینگ نواحی'!G10</f>
            </strRef>
          </tx>
          <spPr>
            <a:ln>
              <a:prstDash val="solid"/>
            </a:ln>
          </spPr>
          <cat>
            <numRef>
              <f>'داشبورد مانیتورینگ نواحی'!$B$11:$B$15</f>
            </numRef>
          </cat>
          <val>
            <numRef>
              <f>'داشبورد مانیتورینگ نواحی'!$G$11:$G$15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درصد تحقق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8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2" displayName="Table_2" ref="B5:E9" headerRowCount="0">
  <tableColumns count="4">
    <tableColumn id="1" name="Column1"/>
    <tableColumn id="2" name="Column2"/>
    <tableColumn id="3" name="Column3"/>
    <tableColumn id="4" name="Column4"/>
  </tableColumns>
  <tableStyleInfo name="کارنامه هوشمند-style" showFirstColumn="1" showLastColumn="1" showRowStripes="1" showColumnStripes="0"/>
</table>
</file>

<file path=xl/tables/table2.xml><?xml version="1.0" encoding="utf-8"?>
<table xmlns="http://schemas.openxmlformats.org/spreadsheetml/2006/main" id="2" name="Table_3" displayName="Table_3" ref="A2:F3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گزارش عملکرد ماهانه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A2:H33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پایگاه داده حد انتظار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showGridLines="1" rightToLeft="1" workbookViewId="0">
      <selection activeCell="A1" sqref="A1"/>
    </sheetView>
  </sheetViews>
  <sheetFormatPr baseColWidth="8" defaultRowHeight="15"/>
  <cols>
    <col width="6" customWidth="1" style="12" min="1" max="1"/>
    <col width="21" customWidth="1" style="12" min="2" max="2"/>
    <col width="11" customWidth="1" style="12" min="3" max="3"/>
    <col width="11" customWidth="1" style="12" min="4" max="4"/>
    <col width="11" customWidth="1" style="12" min="5" max="5"/>
    <col width="12" customWidth="1" style="12" min="6" max="6"/>
    <col width="12" customWidth="1" style="12" min="7" max="7"/>
    <col width="11" customWidth="1" style="12" min="8" max="8"/>
    <col width="12" customWidth="1" style="12" min="9" max="9"/>
    <col width="11" customWidth="1" style="12" min="10" max="10"/>
    <col width="11" customWidth="1" style="12" min="11" max="11"/>
    <col width="12" customWidth="1" style="12" min="12" max="12"/>
    <col width="11" customWidth="1" style="12" min="13" max="13"/>
    <col width="11" customWidth="1" style="12" min="14" max="14"/>
    <col width="12" customWidth="1" style="12" min="15" max="15"/>
    <col width="10" customWidth="1" style="12" min="16" max="16"/>
    <col width="10" customWidth="1" style="12" min="17" max="17"/>
    <col width="11" customWidth="1" style="12" min="18" max="18"/>
    <col width="12" customWidth="1" style="12" min="19" max="19"/>
    <col width="14" customWidth="1" style="12" min="20" max="20"/>
    <col width="11" customWidth="1" style="12" min="21" max="21"/>
    <col width="16" customWidth="1" style="12" min="22" max="22"/>
    <col width="14" customWidth="1" style="12" min="23" max="23"/>
  </cols>
  <sheetData>
    <row r="1" ht="36" customHeight="1" s="12">
      <c r="A1" s="13" t="inlineStr">
        <is>
          <t>سامانه هوشمند مانیتورینگ و ارزیابی جامع عملکرد نواحی و کارمندان نسرا - استان اصفهان</t>
        </is>
      </c>
    </row>
    <row r="2" ht="24" customHeight="1" s="12">
      <c r="A2" s="129">
        <f>"سال ارزیابی: " &amp; 'کارنامه هوشمند'!E3 &amp; " | دوره ارزیابی: ماه " &amp; 'کارنامه هوشمند'!C3 &amp; " | مبنای سنجش: شاخص‌های ابلاغی به ازای هر حوزه مقاومت | پایش برخط و خودکار متصل به گزارش عملکرد ماهانه"</f>
        <v/>
      </c>
      <c r="V2" s="130" t="inlineStr">
        <is>
          <t>📸 خروجی تصویر داشبورد</t>
        </is>
      </c>
      <c r="W2" s="132" t="n"/>
    </row>
    <row r="3" ht="10" customHeight="1" s="12"/>
    <row r="4" ht="22" customHeight="1" s="12">
      <c r="B4" s="15" t="inlineStr">
        <is>
          <t>🏢 پوشش تشکیلاتی استان</t>
        </is>
      </c>
      <c r="C4" s="115" t="n"/>
      <c r="D4" s="116" t="n"/>
      <c r="E4" s="17" t="inlineStr">
        <is>
          <t>📊 میانگین نمره عملکرد استان</t>
        </is>
      </c>
      <c r="F4" s="117" t="n"/>
      <c r="G4" s="117" t="n"/>
      <c r="H4" s="118" t="n"/>
      <c r="I4" s="19" t="inlineStr">
        <is>
          <t>🏆 پیشتاز عملکرد استان (رتبه ۱)</t>
        </is>
      </c>
      <c r="J4" s="119" t="n"/>
      <c r="K4" s="119" t="n"/>
      <c r="L4" s="120" t="n"/>
      <c r="M4" s="21" t="inlineStr">
        <is>
          <t>📥 وضعیت دریافت گزارش ماهانه</t>
        </is>
      </c>
      <c r="N4" s="121" t="n"/>
      <c r="O4" s="121" t="n"/>
      <c r="P4" s="122" t="n"/>
      <c r="Q4" s="23" t="inlineStr">
        <is>
          <t>🎯 تفکیک سطوح کیفی عملکرد نواحی</t>
        </is>
      </c>
      <c r="R4" s="123" t="n"/>
      <c r="S4" s="123" t="n"/>
      <c r="T4" s="123" t="n"/>
      <c r="U4" s="123" t="n"/>
      <c r="V4" s="123" t="n"/>
      <c r="W4" s="124" t="n"/>
    </row>
    <row r="5" ht="30" customHeight="1" s="12">
      <c r="B5" s="25" t="inlineStr">
        <is>
          <t>۳۲ ناحیه | ۲۲۹ حوزه مقاومت</t>
        </is>
      </c>
      <c r="C5" s="125" t="n"/>
      <c r="D5" s="126" t="n"/>
      <c r="E5" s="27">
        <f>IFERROR(AVERAGE(T31:T62), 0)</f>
        <v/>
      </c>
      <c r="F5" s="125" t="n"/>
      <c r="G5" s="125" t="n"/>
      <c r="H5" s="126" t="n"/>
      <c r="I5" s="29">
        <f>IF(MAX(T31:T62)&gt;0, INDEX(B31:B62, MATCH(MAX(T31:T62), T31:T62, 0)), "در انتظار ثبت داده")</f>
        <v/>
      </c>
      <c r="J5" s="125" t="n"/>
      <c r="K5" s="125" t="n"/>
      <c r="L5" s="126" t="n"/>
      <c r="M5" s="31">
        <f>COUNTIF(W31:W62, "ثبت شده") &amp; " از ۳۲ ناحیه"</f>
        <v/>
      </c>
      <c r="N5" s="125" t="n"/>
      <c r="O5" s="125" t="n"/>
      <c r="P5" s="126" t="n"/>
      <c r="Q5" s="33">
        <f>"عالی: " &amp; COUNTIF(V31:V62, "عالی*") &amp; " | خوب: " &amp; COUNTIF(V31:V62, "خوب*") &amp; " | متوسط: " &amp; COUNTIF(V31:V62, "متوسط*") &amp; " | ضعیف: " &amp; COUNTIF(V31:V62, "ضعیف*")</f>
        <v/>
      </c>
      <c r="R5" s="125" t="n"/>
      <c r="S5" s="125" t="n"/>
      <c r="T5" s="125" t="n"/>
      <c r="U5" s="125" t="n"/>
      <c r="V5" s="125" t="n"/>
      <c r="W5" s="126" t="n"/>
    </row>
    <row r="6" ht="20" customHeight="1" s="12">
      <c r="B6" s="35">
        <f>"مجموع مدرسان هدف: " &amp; TEXT(SUM('پایگاه داده حد انتظار'!$H$2:$H$33),"#,##0") &amp; " نفر"</f>
        <v/>
      </c>
      <c r="C6" s="125" t="n"/>
      <c r="D6" s="126" t="n"/>
      <c r="E6" s="36">
        <f>IF(E5&gt;=1,"تحقق ۱۰۰٪ اهداف استانی",IF(E5&gt;=0.75,"عملکرد بسیار مطلوب",IF(E5&gt;=0.5,"عملکرد متوسط","نیازمند مداخله و پیگیری")))</f>
        <v/>
      </c>
      <c r="F6" s="125" t="n"/>
      <c r="G6" s="125" t="n"/>
      <c r="H6" s="126" t="n"/>
      <c r="I6" s="37">
        <f>IF(MAX(T31:T62)&gt;0, "نمره تحقق: " &amp; TEXT(MAX(T31:T62), "0.0%"), "-")</f>
        <v/>
      </c>
      <c r="J6" s="125" t="n"/>
      <c r="K6" s="125" t="n"/>
      <c r="L6" s="126" t="n"/>
      <c r="M6" s="38">
        <f>"نرخ مشارکت: " &amp; TEXT(COUNTIF(W31:W62, "ثبت شده")/32, "0.0%")</f>
        <v/>
      </c>
      <c r="N6" s="125" t="n"/>
      <c r="O6" s="125" t="n"/>
      <c r="P6" s="126" t="n"/>
      <c r="Q6" s="39">
        <f>"نواحی فاقد گزارش: " &amp; COUNTIF(W31:W62, "فاقد گزارش") &amp; " ناحیه"</f>
        <v/>
      </c>
      <c r="R6" s="125" t="n"/>
      <c r="S6" s="125" t="n"/>
      <c r="T6" s="125" t="n"/>
      <c r="U6" s="125" t="n"/>
      <c r="V6" s="125" t="n"/>
      <c r="W6" s="126" t="n"/>
    </row>
    <row r="7" ht="8" customHeight="1" s="12"/>
    <row r="8" ht="8" customHeight="1" s="12"/>
    <row r="9" ht="26" customHeight="1" s="12">
      <c r="B9" s="40" t="inlineStr">
        <is>
          <t>۱. ارزیابی و پایش تحقق شاخص‌های کلان در سطح کل استان اصفهان (تجمیعی)</t>
        </is>
      </c>
    </row>
    <row r="10" ht="24" customHeight="1" s="12">
      <c r="B10" s="41" t="inlineStr">
        <is>
          <t>عنوان شاخص عملکردی</t>
        </is>
      </c>
      <c r="C10" s="41" t="inlineStr">
        <is>
          <t>مبنای ابلاغی</t>
        </is>
      </c>
      <c r="D10" s="41" t="inlineStr">
        <is>
          <t>حد انتظار کل استان</t>
        </is>
      </c>
      <c r="E10" s="41" t="inlineStr">
        <is>
          <t>عملکرد کل استان</t>
        </is>
      </c>
      <c r="F10" s="41" t="inlineStr">
        <is>
          <t>انحراف از هدف</t>
        </is>
      </c>
      <c r="G10" s="41" t="inlineStr">
        <is>
          <t>درصد تحقق استان</t>
        </is>
      </c>
      <c r="H10" s="41" t="inlineStr">
        <is>
          <t>میانگین تحقق نواحی</t>
        </is>
      </c>
      <c r="I10" s="41" t="inlineStr">
        <is>
          <t>وضعیت استانی</t>
        </is>
      </c>
      <c r="J10" s="41" t="inlineStr">
        <is>
          <t>مرجع در گزارش ماهانه</t>
        </is>
      </c>
      <c r="K10" s="41" t="inlineStr">
        <is>
          <t>توضیحات و اجزا</t>
        </is>
      </c>
    </row>
    <row r="11" ht="21" customHeight="1" s="12">
      <c r="B11" s="43" t="inlineStr">
        <is>
          <t>سواد رسانه حضوری و توانمندسازی</t>
        </is>
      </c>
      <c r="C11" s="42" t="inlineStr">
        <is>
          <t>۳۱× به ازای هر حوزه</t>
        </is>
      </c>
      <c r="D11" s="44">
        <f>SUM('پایگاه داده حد انتظار'!$C$2:$C$33)</f>
        <v/>
      </c>
      <c r="E11" s="44">
        <f>SUM('گزارش عملکرد ماهانه'!$B$2:$B$33)</f>
        <v/>
      </c>
      <c r="F11" s="44">
        <f>E11-D11</f>
        <v/>
      </c>
      <c r="G11" s="45">
        <f>IFERROR(E11/D11, 0)</f>
        <v/>
      </c>
      <c r="H11" s="45">
        <f>AVERAGE(F31:F62)</f>
        <v/>
      </c>
      <c r="I11" s="42">
        <f>IF(G11&gt;=1, "تحقق کامل", IF(G11&gt;=0.75, "مطلوب", IF(G11&gt;=0.5, "متوسط", "نیازمند جهش")))</f>
        <v/>
      </c>
      <c r="J11" s="43" t="inlineStr">
        <is>
          <t>شیت حضوری + توانمندسازی</t>
        </is>
      </c>
      <c r="K11" s="43" t="inlineStr">
        <is>
          <t>مجموع کارگاه‌ها و نشست‌های حضوری</t>
        </is>
      </c>
    </row>
    <row r="12" ht="21" customHeight="1" s="12">
      <c r="B12" s="47" t="inlineStr">
        <is>
          <t>سواد رسانه مجازی و لایو</t>
        </is>
      </c>
      <c r="C12" s="46" t="inlineStr">
        <is>
          <t>۲۱۷× به ازای هر حوزه</t>
        </is>
      </c>
      <c r="D12" s="48">
        <f>SUM('پایگاه داده حد انتظار'!$D$2:$D$33)</f>
        <v/>
      </c>
      <c r="E12" s="48">
        <f>SUM('گزارش عملکرد ماهانه'!$C$2:$C$33)</f>
        <v/>
      </c>
      <c r="F12" s="48">
        <f>E12-D12</f>
        <v/>
      </c>
      <c r="G12" s="49">
        <f>IFERROR(E12/D12, 0)</f>
        <v/>
      </c>
      <c r="H12" s="49">
        <f>AVERAGE(I31:I62)</f>
        <v/>
      </c>
      <c r="I12" s="46">
        <f>IF(G12&gt;=1, "تحقق کامل", IF(G12&gt;=0.75, "مطلوب", IF(G12&gt;=0.5, "متوسط", "نیازمند جهش")))</f>
        <v/>
      </c>
      <c r="J12" s="47" t="inlineStr">
        <is>
          <t>شیت سوادرسانه مجازی</t>
        </is>
      </c>
      <c r="K12" s="47" t="inlineStr">
        <is>
          <t>پخش زنده، وبینار و آموزش مجازی</t>
        </is>
      </c>
    </row>
    <row r="13" ht="21" customHeight="1" s="12">
      <c r="B13" s="43" t="inlineStr">
        <is>
          <t>اقدامات و ابتکارات خلاقانه</t>
        </is>
      </c>
      <c r="C13" s="42" t="inlineStr">
        <is>
          <t>۶۲× به ازای هر حوزه</t>
        </is>
      </c>
      <c r="D13" s="44">
        <f>SUM('پایگاه داده حد انتظار'!$E$2:$E$33)</f>
        <v/>
      </c>
      <c r="E13" s="44">
        <f>SUM('گزارش عملکرد ماهانه'!$D$2:$D$33)</f>
        <v/>
      </c>
      <c r="F13" s="44">
        <f>E13-D13</f>
        <v/>
      </c>
      <c r="G13" s="45">
        <f>IFERROR(E13/D13, 0)</f>
        <v/>
      </c>
      <c r="H13" s="45">
        <f>AVERAGE(L31:L62)</f>
        <v/>
      </c>
      <c r="I13" s="42">
        <f>IF(G13&gt;=1, "تحقق کامل", IF(G13&gt;=0.75, "مطلوب", IF(G13&gt;=0.5, "متوسط", "نیازمند جهش")))</f>
        <v/>
      </c>
      <c r="J13" s="43" t="inlineStr">
        <is>
          <t>شیت سواد رسانه خلاقانه</t>
        </is>
      </c>
      <c r="K13" s="43" t="inlineStr">
        <is>
          <t>ایستگاه، نمایشگاه، رادیو، تبلیغات</t>
        </is>
      </c>
    </row>
    <row r="14" ht="21" customHeight="1" s="12">
      <c r="B14" s="47" t="inlineStr">
        <is>
          <t>تولیدات رسانه‌ای و محتوایی</t>
        </is>
      </c>
      <c r="C14" s="46" t="inlineStr">
        <is>
          <t>۳× به ازای هر حوزه</t>
        </is>
      </c>
      <c r="D14" s="48">
        <f>SUM('پایگاه داده حد انتظار'!$F$2:$F$33)</f>
        <v/>
      </c>
      <c r="E14" s="48">
        <f>SUM('گزارش عملکرد ماهانه'!$E$2:$E$33)</f>
        <v/>
      </c>
      <c r="F14" s="48">
        <f>E14-D14</f>
        <v/>
      </c>
      <c r="G14" s="49">
        <f>IFERROR(E14/D14, 0)</f>
        <v/>
      </c>
      <c r="H14" s="49">
        <f>AVERAGE(O31:O62)</f>
        <v/>
      </c>
      <c r="I14" s="46">
        <f>IF(G14&gt;=1, "تحقق کامل", IF(G14&gt;=0.75, "مطلوب", IF(G14&gt;=0.5, "متوسط", "نیازمند جهش")))</f>
        <v/>
      </c>
      <c r="J14" s="47" t="inlineStr">
        <is>
          <t>شیت تولیدات</t>
        </is>
      </c>
      <c r="K14" s="47" t="inlineStr">
        <is>
          <t>کلیپ، اینفوگرافیک، موشن، پوستر</t>
        </is>
      </c>
    </row>
    <row r="15" ht="21" customHeight="1" s="12">
      <c r="B15" s="43" t="inlineStr">
        <is>
          <t>نشست دبیر با انجمن مدرسان</t>
        </is>
      </c>
      <c r="C15" s="42" t="inlineStr">
        <is>
          <t>۱ نشست به ازای ناحیه</t>
        </is>
      </c>
      <c r="D15" s="44">
        <f>SUM('پایگاه داده حد انتظار'!$G$2:$G$33)</f>
        <v/>
      </c>
      <c r="E15" s="44">
        <f>SUM('گزارش عملکرد ماهانه'!$F$2:$F$33)</f>
        <v/>
      </c>
      <c r="F15" s="44">
        <f>E15-D15</f>
        <v/>
      </c>
      <c r="G15" s="45">
        <f>IFERROR(E15/D15, 0)</f>
        <v/>
      </c>
      <c r="H15" s="45">
        <f>AVERAGE(R31:R62)</f>
        <v/>
      </c>
      <c r="I15" s="42">
        <f>IF(G15&gt;=1, "تحقق کامل", IF(G15&gt;=0.75, "مطلوب", IF(G15&gt;=0.5, "متوسط", "نیازمند جهش")))</f>
        <v/>
      </c>
      <c r="J15" s="43" t="inlineStr">
        <is>
          <t>جلسات هماهنگی ناحیه</t>
        </is>
      </c>
      <c r="K15" s="43" t="inlineStr">
        <is>
          <t>نشست رسمی دبیر با مدرسان</t>
        </is>
      </c>
    </row>
    <row r="16" ht="21" customHeight="1" s="12">
      <c r="B16" s="47" t="inlineStr">
        <is>
          <t>اعضای انجمن مدرسان</t>
        </is>
      </c>
      <c r="C16" s="46" t="inlineStr">
        <is>
          <t>۲۲ نفر به ازای ناحیه</t>
        </is>
      </c>
      <c r="D16" s="48">
        <f>SUM('پایگاه داده حد انتظار'!$H$2:$H$33)</f>
        <v/>
      </c>
      <c r="E16" s="46" t="inlineStr">
        <is>
          <t>-</t>
        </is>
      </c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ظرفیت‌سازی</t>
        </is>
      </c>
      <c r="J16" s="47" t="inlineStr">
        <is>
          <t>پایگاه حد انتظار</t>
        </is>
      </c>
      <c r="K16" s="47" t="inlineStr">
        <is>
          <t>مجموع ۷۰۴ عضو فعال استانی</t>
        </is>
      </c>
    </row>
    <row r="17" ht="24" customHeight="1" s="12">
      <c r="B17" s="51" t="inlineStr">
        <is>
          <t>مجموع فعالیت‌های کلان استان</t>
        </is>
      </c>
      <c r="C17" s="50" t="inlineStr">
        <is>
          <t>-</t>
        </is>
      </c>
      <c r="D17" s="52">
        <f>SUM(D11:D15)</f>
        <v/>
      </c>
      <c r="E17" s="52">
        <f>SUM(E11:E15)</f>
        <v/>
      </c>
      <c r="F17" s="52">
        <f>E17-D17</f>
        <v/>
      </c>
      <c r="G17" s="53">
        <f>IFERROR(E17/D17, 0)</f>
        <v/>
      </c>
      <c r="H17" s="53">
        <f>AVERAGE(G11:G15)</f>
        <v/>
      </c>
      <c r="I17" s="50">
        <f>IF(G17&gt;=1, "تحقق کامل", IF(G17&gt;=0.75, "مطلوب", IF(G17&gt;=0.5, "متوسط", "نیازمند جهش")))</f>
        <v/>
      </c>
      <c r="J17" s="51" t="inlineStr">
        <is>
          <t>۵ شاخص اصلی</t>
        </is>
      </c>
      <c r="K17" s="51" t="inlineStr">
        <is>
          <t>مجموع ۷۱,۷۰۹ اقدام استانی</t>
        </is>
      </c>
    </row>
    <row r="18" ht="10" customHeight="1" s="12"/>
    <row r="19" ht="10" customHeight="1" s="12"/>
    <row r="20" ht="24" customHeight="1" s="12">
      <c r="B20" s="54" t="inlineStr">
        <is>
          <t>🏆 دیده‌بان برترین‌های عملکرد (۵ ناحیه پیشتاز استان اصفهان)</t>
        </is>
      </c>
      <c r="M20" s="55" t="inlineStr">
        <is>
          <t>⚠️ دیده‌بان پیگیری و تقویت (۵ ناحیه با کمترین تحقق / نیازمند توجه)</t>
        </is>
      </c>
    </row>
    <row r="21" ht="22" customHeight="1" s="12">
      <c r="B21" s="56" t="inlineStr">
        <is>
          <t>رتبه</t>
        </is>
      </c>
      <c r="C21" s="56" t="inlineStr">
        <is>
          <t>نام ناحیه (شهرستان)</t>
        </is>
      </c>
      <c r="D21" s="56" t="inlineStr">
        <is>
          <t>تعداد حوزه</t>
        </is>
      </c>
      <c r="E21" s="56" t="inlineStr">
        <is>
          <t>نمره کل عملکرد</t>
        </is>
      </c>
      <c r="F21" s="56" t="inlineStr">
        <is>
          <t>سطح ارزیابی</t>
        </is>
      </c>
      <c r="G21" s="56" t="inlineStr">
        <is>
          <t>وضعیت ثبت</t>
        </is>
      </c>
      <c r="H21" s="56" t="inlineStr">
        <is>
          <t>حضوری %</t>
        </is>
      </c>
      <c r="I21" s="56" t="inlineStr">
        <is>
          <t>مجازی %</t>
        </is>
      </c>
      <c r="J21" s="56" t="inlineStr">
        <is>
          <t>خلاقانه %</t>
        </is>
      </c>
      <c r="K21" s="56" t="inlineStr">
        <is>
          <t>تولیدات %</t>
        </is>
      </c>
      <c r="L21" s="56" t="inlineStr">
        <is>
          <t>نشست %</t>
        </is>
      </c>
      <c r="M21" s="57" t="inlineStr">
        <is>
          <t>اولویت</t>
        </is>
      </c>
      <c r="N21" s="57" t="inlineStr">
        <is>
          <t>نام ناحیه (شهرستان)</t>
        </is>
      </c>
      <c r="O21" s="57" t="inlineStr">
        <is>
          <t>تعداد حوزه</t>
        </is>
      </c>
      <c r="P21" s="57" t="inlineStr">
        <is>
          <t>نمره کل عملکرد</t>
        </is>
      </c>
      <c r="Q21" s="57" t="inlineStr">
        <is>
          <t>سطح ارزیابی</t>
        </is>
      </c>
      <c r="R21" s="57" t="inlineStr">
        <is>
          <t>وضعیت ثبت</t>
        </is>
      </c>
      <c r="S21" s="57" t="inlineStr">
        <is>
          <t>حضوری %</t>
        </is>
      </c>
      <c r="T21" s="57" t="inlineStr">
        <is>
          <t>مجازی %</t>
        </is>
      </c>
      <c r="U21" s="57" t="inlineStr">
        <is>
          <t>خلاقانه %</t>
        </is>
      </c>
      <c r="V21" s="57" t="inlineStr">
        <is>
          <t>اقدام پیشنهادی</t>
        </is>
      </c>
      <c r="W21" s="57" t="inlineStr">
        <is>
          <t>پیوند کارنامه</t>
        </is>
      </c>
    </row>
    <row r="22" ht="20" customHeight="1" s="12">
      <c r="B22" s="58" t="n">
        <v>1</v>
      </c>
      <c r="C22" s="59">
        <f>IF(MAX($T$31:$T$62)&gt;0, INDEX($B$31:$B$62, MATCH(LARGE($T$31:$T$62, 1), $T$31:$T$62, 0)), "در انتظار ثبت عملکرد")</f>
        <v/>
      </c>
      <c r="D22" s="44">
        <f>IF(MAX($T$31:$T$62)&gt;0, VLOOKUP(C22, $B$31:$C$62, 2, FALSE), "-")</f>
        <v/>
      </c>
      <c r="E22" s="45">
        <f>IF(MAX($T$31:$T$62)&gt;0, LARGE($T$31:$T$62, 1), 0)</f>
        <v/>
      </c>
      <c r="F22" s="60">
        <f>IF(MAX($T$31:$T$62)&gt;0, VLOOKUP(C22, $B$31:$V$62, 21, FALSE), "-")</f>
        <v/>
      </c>
      <c r="G22" s="60">
        <f>IF(MAX($T$31:$T$62)&gt;0, VLOOKUP(C22, $B$31:$W$62, 22, FALSE), "-")</f>
        <v/>
      </c>
      <c r="H22" s="61">
        <f>IF(MAX($T$31:$T$62)&gt;0, VLOOKUP(C22, $B$31:$F$62, 5, FALSE), "-")</f>
        <v/>
      </c>
      <c r="I22" s="61">
        <f>IF(MAX($T$31:$T$62)&gt;0, VLOOKUP(C22, $B$31:$I$62, 8, FALSE), "-")</f>
        <v/>
      </c>
      <c r="J22" s="61">
        <f>IF(MAX($T$31:$T$62)&gt;0, VLOOKUP(C22, $B$31:$L$62, 11, FALSE), "-")</f>
        <v/>
      </c>
      <c r="K22" s="61">
        <f>IF(MAX($T$31:$T$62)&gt;0, VLOOKUP(C22, $B$31:$O$62, 14, FALSE), "-")</f>
        <v/>
      </c>
      <c r="L22" s="61">
        <f>IF(MAX($T$31:$T$62)&gt;0, VLOOKUP(C22, $B$31:$R$62, 17, FALSE), "-")</f>
        <v/>
      </c>
      <c r="M22" s="58" t="n">
        <v>1</v>
      </c>
      <c r="N22" s="59">
        <f>IF(MAX($T$31:$T$62)&gt;0, INDEX($B$31:$B$62, MATCH(SMALL($T$31:$T$62, 1), $T$31:$T$62, 0)), "در انتظار ثبت عملکرد")</f>
        <v/>
      </c>
      <c r="O22" s="44">
        <f>IF(MAX($T$31:$T$62)&gt;0, VLOOKUP(N22, $B$31:$C$62, 2, FALSE), "-")</f>
        <v/>
      </c>
      <c r="P22" s="45">
        <f>IF(MAX($T$31:$T$62)&gt;0, SMALL($T$31:$T$62, 1), 0)</f>
        <v/>
      </c>
      <c r="Q22" s="60">
        <f>IF(MAX($T$31:$T$62)&gt;0, VLOOKUP(N22, $B$31:$V$62, 21, FALSE), "-")</f>
        <v/>
      </c>
      <c r="R22" s="60">
        <f>IF(MAX($T$31:$T$62)&gt;0, VLOOKUP(N22, $B$31:$W$62, 22, FALSE), "-")</f>
        <v/>
      </c>
      <c r="S22" s="61">
        <f>IF(MAX($T$31:$T$62)&gt;0, VLOOKUP(N22, $B$31:$F$62, 5, FALSE), "-")</f>
        <v/>
      </c>
      <c r="T22" s="61">
        <f>IF(MAX($T$31:$T$62)&gt;0, VLOOKUP(N22, $B$31:$I$62, 8, FALSE), "-")</f>
        <v/>
      </c>
      <c r="U22" s="61">
        <f>IF(MAX($T$31:$T$62)&gt;0, VLOOKUP(N22, $B$31:$L$62, 11, FALSE), "-")</f>
        <v/>
      </c>
      <c r="V22" s="59">
        <f>IF(MAX($T$31:$T$62)&gt;0, "پیگیری کسری عملکرد و کارگاه‌ها", "-")</f>
        <v/>
      </c>
      <c r="W22" s="60">
        <f>HYPERLINK("#'کارنامه هوشمند'!A1", "مشاهده کارنامه ↗")</f>
        <v/>
      </c>
    </row>
    <row r="23" ht="20" customHeight="1" s="12">
      <c r="B23" s="62" t="n">
        <v>2</v>
      </c>
      <c r="C23" s="63">
        <f>IF(MAX($T$31:$T$62)&gt;0, INDEX($B$31:$B$62, MATCH(LARGE($T$31:$T$62, 2), $T$31:$T$62, 0)), "در انتظار ثبت عملکرد")</f>
        <v/>
      </c>
      <c r="D23" s="48">
        <f>IF(MAX($T$31:$T$62)&gt;0, VLOOKUP(C23, $B$31:$C$62, 2, FALSE), "-")</f>
        <v/>
      </c>
      <c r="E23" s="49">
        <f>IF(MAX($T$31:$T$62)&gt;0, LARGE($T$31:$T$62, 2), 0)</f>
        <v/>
      </c>
      <c r="F23" s="64">
        <f>IF(MAX($T$31:$T$62)&gt;0, VLOOKUP(C23, $B$31:$V$62, 21, FALSE), "-")</f>
        <v/>
      </c>
      <c r="G23" s="64">
        <f>IF(MAX($T$31:$T$62)&gt;0, VLOOKUP(C23, $B$31:$W$62, 22, FALSE), "-")</f>
        <v/>
      </c>
      <c r="H23" s="65">
        <f>IF(MAX($T$31:$T$62)&gt;0, VLOOKUP(C23, $B$31:$F$62, 5, FALSE), "-")</f>
        <v/>
      </c>
      <c r="I23" s="65">
        <f>IF(MAX($T$31:$T$62)&gt;0, VLOOKUP(C23, $B$31:$I$62, 8, FALSE), "-")</f>
        <v/>
      </c>
      <c r="J23" s="65">
        <f>IF(MAX($T$31:$T$62)&gt;0, VLOOKUP(C23, $B$31:$L$62, 11, FALSE), "-")</f>
        <v/>
      </c>
      <c r="K23" s="65">
        <f>IF(MAX($T$31:$T$62)&gt;0, VLOOKUP(C23, $B$31:$O$62, 14, FALSE), "-")</f>
        <v/>
      </c>
      <c r="L23" s="65">
        <f>IF(MAX($T$31:$T$62)&gt;0, VLOOKUP(C23, $B$31:$R$62, 17, FALSE), "-")</f>
        <v/>
      </c>
      <c r="M23" s="62" t="n">
        <v>2</v>
      </c>
      <c r="N23" s="63">
        <f>IF(MAX($T$31:$T$62)&gt;0, INDEX($B$31:$B$62, MATCH(SMALL($T$31:$T$62, 2), $T$31:$T$62, 0)), "در انتظار ثبت عملکرد")</f>
        <v/>
      </c>
      <c r="O23" s="48">
        <f>IF(MAX($T$31:$T$62)&gt;0, VLOOKUP(N23, $B$31:$C$62, 2, FALSE), "-")</f>
        <v/>
      </c>
      <c r="P23" s="49">
        <f>IF(MAX($T$31:$T$62)&gt;0, SMALL($T$31:$T$62, 2), 0)</f>
        <v/>
      </c>
      <c r="Q23" s="64">
        <f>IF(MAX($T$31:$T$62)&gt;0, VLOOKUP(N23, $B$31:$V$62, 21, FALSE), "-")</f>
        <v/>
      </c>
      <c r="R23" s="64">
        <f>IF(MAX($T$31:$T$62)&gt;0, VLOOKUP(N23, $B$31:$W$62, 22, FALSE), "-")</f>
        <v/>
      </c>
      <c r="S23" s="65">
        <f>IF(MAX($T$31:$T$62)&gt;0, VLOOKUP(N23, $B$31:$F$62, 5, FALSE), "-")</f>
        <v/>
      </c>
      <c r="T23" s="65">
        <f>IF(MAX($T$31:$T$62)&gt;0, VLOOKUP(N23, $B$31:$I$62, 8, FALSE), "-")</f>
        <v/>
      </c>
      <c r="U23" s="65">
        <f>IF(MAX($T$31:$T$62)&gt;0, VLOOKUP(N23, $B$31:$L$62, 11, FALSE), "-")</f>
        <v/>
      </c>
      <c r="V23" s="63">
        <f>IF(MAX($T$31:$T$62)&gt;0, "پیگیری کسری عملکرد و کارگاه‌ها", "-")</f>
        <v/>
      </c>
      <c r="W23" s="64">
        <f>HYPERLINK("#'کارنامه هوشمند'!A1", "مشاهده کارنامه ↗")</f>
        <v/>
      </c>
    </row>
    <row r="24" ht="20" customHeight="1" s="12">
      <c r="B24" s="58" t="n">
        <v>3</v>
      </c>
      <c r="C24" s="59">
        <f>IF(MAX($T$31:$T$62)&gt;0, INDEX($B$31:$B$62, MATCH(LARGE($T$31:$T$62, 3), $T$31:$T$62, 0)), "در انتظار ثبت عملکرد")</f>
        <v/>
      </c>
      <c r="D24" s="44">
        <f>IF(MAX($T$31:$T$62)&gt;0, VLOOKUP(C24, $B$31:$C$62, 2, FALSE), "-")</f>
        <v/>
      </c>
      <c r="E24" s="45">
        <f>IF(MAX($T$31:$T$62)&gt;0, LARGE($T$31:$T$62, 3), 0)</f>
        <v/>
      </c>
      <c r="F24" s="60">
        <f>IF(MAX($T$31:$T$62)&gt;0, VLOOKUP(C24, $B$31:$V$62, 21, FALSE), "-")</f>
        <v/>
      </c>
      <c r="G24" s="60">
        <f>IF(MAX($T$31:$T$62)&gt;0, VLOOKUP(C24, $B$31:$W$62, 22, FALSE), "-")</f>
        <v/>
      </c>
      <c r="H24" s="61">
        <f>IF(MAX($T$31:$T$62)&gt;0, VLOOKUP(C24, $B$31:$F$62, 5, FALSE), "-")</f>
        <v/>
      </c>
      <c r="I24" s="61">
        <f>IF(MAX($T$31:$T$62)&gt;0, VLOOKUP(C24, $B$31:$I$62, 8, FALSE), "-")</f>
        <v/>
      </c>
      <c r="J24" s="61">
        <f>IF(MAX($T$31:$T$62)&gt;0, VLOOKUP(C24, $B$31:$L$62, 11, FALSE), "-")</f>
        <v/>
      </c>
      <c r="K24" s="61">
        <f>IF(MAX($T$31:$T$62)&gt;0, VLOOKUP(C24, $B$31:$O$62, 14, FALSE), "-")</f>
        <v/>
      </c>
      <c r="L24" s="61">
        <f>IF(MAX($T$31:$T$62)&gt;0, VLOOKUP(C24, $B$31:$R$62, 17, FALSE), "-")</f>
        <v/>
      </c>
      <c r="M24" s="58" t="n">
        <v>3</v>
      </c>
      <c r="N24" s="59">
        <f>IF(MAX($T$31:$T$62)&gt;0, INDEX($B$31:$B$62, MATCH(SMALL($T$31:$T$62, 3), $T$31:$T$62, 0)), "در انتظار ثبت عملکرد")</f>
        <v/>
      </c>
      <c r="O24" s="44">
        <f>IF(MAX($T$31:$T$62)&gt;0, VLOOKUP(N24, $B$31:$C$62, 2, FALSE), "-")</f>
        <v/>
      </c>
      <c r="P24" s="45">
        <f>IF(MAX($T$31:$T$62)&gt;0, SMALL($T$31:$T$62, 3), 0)</f>
        <v/>
      </c>
      <c r="Q24" s="60">
        <f>IF(MAX($T$31:$T$62)&gt;0, VLOOKUP(N24, $B$31:$V$62, 21, FALSE), "-")</f>
        <v/>
      </c>
      <c r="R24" s="60">
        <f>IF(MAX($T$31:$T$62)&gt;0, VLOOKUP(N24, $B$31:$W$62, 22, FALSE), "-")</f>
        <v/>
      </c>
      <c r="S24" s="61">
        <f>IF(MAX($T$31:$T$62)&gt;0, VLOOKUP(N24, $B$31:$F$62, 5, FALSE), "-")</f>
        <v/>
      </c>
      <c r="T24" s="61">
        <f>IF(MAX($T$31:$T$62)&gt;0, VLOOKUP(N24, $B$31:$I$62, 8, FALSE), "-")</f>
        <v/>
      </c>
      <c r="U24" s="61">
        <f>IF(MAX($T$31:$T$62)&gt;0, VLOOKUP(N24, $B$31:$L$62, 11, FALSE), "-")</f>
        <v/>
      </c>
      <c r="V24" s="59">
        <f>IF(MAX($T$31:$T$62)&gt;0, "پیگیری کسری عملکرد و کارگاه‌ها", "-")</f>
        <v/>
      </c>
      <c r="W24" s="60">
        <f>HYPERLINK("#'کارنامه هوشمند'!A1", "مشاهده کارنامه ↗")</f>
        <v/>
      </c>
    </row>
    <row r="25" ht="20" customHeight="1" s="12">
      <c r="B25" s="62" t="n">
        <v>4</v>
      </c>
      <c r="C25" s="63">
        <f>IF(MAX($T$31:$T$62)&gt;0, INDEX($B$31:$B$62, MATCH(LARGE($T$31:$T$62, 4), $T$31:$T$62, 0)), "در انتظار ثبت عملکرد")</f>
        <v/>
      </c>
      <c r="D25" s="48">
        <f>IF(MAX($T$31:$T$62)&gt;0, VLOOKUP(C25, $B$31:$C$62, 2, FALSE), "-")</f>
        <v/>
      </c>
      <c r="E25" s="49">
        <f>IF(MAX($T$31:$T$62)&gt;0, LARGE($T$31:$T$62, 4), 0)</f>
        <v/>
      </c>
      <c r="F25" s="64">
        <f>IF(MAX($T$31:$T$62)&gt;0, VLOOKUP(C25, $B$31:$V$62, 21, FALSE), "-")</f>
        <v/>
      </c>
      <c r="G25" s="64">
        <f>IF(MAX($T$31:$T$62)&gt;0, VLOOKUP(C25, $B$31:$W$62, 22, FALSE), "-")</f>
        <v/>
      </c>
      <c r="H25" s="65">
        <f>IF(MAX($T$31:$T$62)&gt;0, VLOOKUP(C25, $B$31:$F$62, 5, FALSE), "-")</f>
        <v/>
      </c>
      <c r="I25" s="65">
        <f>IF(MAX($T$31:$T$62)&gt;0, VLOOKUP(C25, $B$31:$I$62, 8, FALSE), "-")</f>
        <v/>
      </c>
      <c r="J25" s="65">
        <f>IF(MAX($T$31:$T$62)&gt;0, VLOOKUP(C25, $B$31:$L$62, 11, FALSE), "-")</f>
        <v/>
      </c>
      <c r="K25" s="65">
        <f>IF(MAX($T$31:$T$62)&gt;0, VLOOKUP(C25, $B$31:$O$62, 14, FALSE), "-")</f>
        <v/>
      </c>
      <c r="L25" s="65">
        <f>IF(MAX($T$31:$T$62)&gt;0, VLOOKUP(C25, $B$31:$R$62, 17, FALSE), "-")</f>
        <v/>
      </c>
      <c r="M25" s="62" t="n">
        <v>4</v>
      </c>
      <c r="N25" s="63">
        <f>IF(MAX($T$31:$T$62)&gt;0, INDEX($B$31:$B$62, MATCH(SMALL($T$31:$T$62, 4), $T$31:$T$62, 0)), "در انتظار ثبت عملکرد")</f>
        <v/>
      </c>
      <c r="O25" s="48">
        <f>IF(MAX($T$31:$T$62)&gt;0, VLOOKUP(N25, $B$31:$C$62, 2, FALSE), "-")</f>
        <v/>
      </c>
      <c r="P25" s="49">
        <f>IF(MAX($T$31:$T$62)&gt;0, SMALL($T$31:$T$62, 4), 0)</f>
        <v/>
      </c>
      <c r="Q25" s="64">
        <f>IF(MAX($T$31:$T$62)&gt;0, VLOOKUP(N25, $B$31:$V$62, 21, FALSE), "-")</f>
        <v/>
      </c>
      <c r="R25" s="64">
        <f>IF(MAX($T$31:$T$62)&gt;0, VLOOKUP(N25, $B$31:$W$62, 22, FALSE), "-")</f>
        <v/>
      </c>
      <c r="S25" s="65">
        <f>IF(MAX($T$31:$T$62)&gt;0, VLOOKUP(N25, $B$31:$F$62, 5, FALSE), "-")</f>
        <v/>
      </c>
      <c r="T25" s="65">
        <f>IF(MAX($T$31:$T$62)&gt;0, VLOOKUP(N25, $B$31:$I$62, 8, FALSE), "-")</f>
        <v/>
      </c>
      <c r="U25" s="65">
        <f>IF(MAX($T$31:$T$62)&gt;0, VLOOKUP(N25, $B$31:$L$62, 11, FALSE), "-")</f>
        <v/>
      </c>
      <c r="V25" s="63">
        <f>IF(MAX($T$31:$T$62)&gt;0, "پیگیری کسری عملکرد و کارگاه‌ها", "-")</f>
        <v/>
      </c>
      <c r="W25" s="64">
        <f>HYPERLINK("#'کارنامه هوشمند'!A1", "مشاهده کارنامه ↗")</f>
        <v/>
      </c>
    </row>
    <row r="26" ht="20" customHeight="1" s="12">
      <c r="B26" s="58" t="n">
        <v>5</v>
      </c>
      <c r="C26" s="59">
        <f>IF(MAX($T$31:$T$62)&gt;0, INDEX($B$31:$B$62, MATCH(LARGE($T$31:$T$62, 5), $T$31:$T$62, 0)), "در انتظار ثبت عملکرد")</f>
        <v/>
      </c>
      <c r="D26" s="44">
        <f>IF(MAX($T$31:$T$62)&gt;0, VLOOKUP(C26, $B$31:$C$62, 2, FALSE), "-")</f>
        <v/>
      </c>
      <c r="E26" s="45">
        <f>IF(MAX($T$31:$T$62)&gt;0, LARGE($T$31:$T$62, 5), 0)</f>
        <v/>
      </c>
      <c r="F26" s="60">
        <f>IF(MAX($T$31:$T$62)&gt;0, VLOOKUP(C26, $B$31:$V$62, 21, FALSE), "-")</f>
        <v/>
      </c>
      <c r="G26" s="60">
        <f>IF(MAX($T$31:$T$62)&gt;0, VLOOKUP(C26, $B$31:$W$62, 22, FALSE), "-")</f>
        <v/>
      </c>
      <c r="H26" s="61">
        <f>IF(MAX($T$31:$T$62)&gt;0, VLOOKUP(C26, $B$31:$F$62, 5, FALSE), "-")</f>
        <v/>
      </c>
      <c r="I26" s="61">
        <f>IF(MAX($T$31:$T$62)&gt;0, VLOOKUP(C26, $B$31:$I$62, 8, FALSE), "-")</f>
        <v/>
      </c>
      <c r="J26" s="61">
        <f>IF(MAX($T$31:$T$62)&gt;0, VLOOKUP(C26, $B$31:$L$62, 11, FALSE), "-")</f>
        <v/>
      </c>
      <c r="K26" s="61">
        <f>IF(MAX($T$31:$T$62)&gt;0, VLOOKUP(C26, $B$31:$O$62, 14, FALSE), "-")</f>
        <v/>
      </c>
      <c r="L26" s="61">
        <f>IF(MAX($T$31:$T$62)&gt;0, VLOOKUP(C26, $B$31:$R$62, 17, FALSE), "-")</f>
        <v/>
      </c>
      <c r="M26" s="58" t="n">
        <v>5</v>
      </c>
      <c r="N26" s="59">
        <f>IF(MAX($T$31:$T$62)&gt;0, INDEX($B$31:$B$62, MATCH(SMALL($T$31:$T$62, 5), $T$31:$T$62, 0)), "در انتظار ثبت عملکرد")</f>
        <v/>
      </c>
      <c r="O26" s="44">
        <f>IF(MAX($T$31:$T$62)&gt;0, VLOOKUP(N26, $B$31:$C$62, 2, FALSE), "-")</f>
        <v/>
      </c>
      <c r="P26" s="45">
        <f>IF(MAX($T$31:$T$62)&gt;0, SMALL($T$31:$T$62, 5), 0)</f>
        <v/>
      </c>
      <c r="Q26" s="60">
        <f>IF(MAX($T$31:$T$62)&gt;0, VLOOKUP(N26, $B$31:$V$62, 21, FALSE), "-")</f>
        <v/>
      </c>
      <c r="R26" s="60">
        <f>IF(MAX($T$31:$T$62)&gt;0, VLOOKUP(N26, $B$31:$W$62, 22, FALSE), "-")</f>
        <v/>
      </c>
      <c r="S26" s="61">
        <f>IF(MAX($T$31:$T$62)&gt;0, VLOOKUP(N26, $B$31:$F$62, 5, FALSE), "-")</f>
        <v/>
      </c>
      <c r="T26" s="61">
        <f>IF(MAX($T$31:$T$62)&gt;0, VLOOKUP(N26, $B$31:$I$62, 8, FALSE), "-")</f>
        <v/>
      </c>
      <c r="U26" s="61">
        <f>IF(MAX($T$31:$T$62)&gt;0, VLOOKUP(N26, $B$31:$L$62, 11, FALSE), "-")</f>
        <v/>
      </c>
      <c r="V26" s="59">
        <f>IF(MAX($T$31:$T$62)&gt;0, "پیگیری کسری عملکرد و کارگاه‌ها", "-")</f>
        <v/>
      </c>
      <c r="W26" s="60">
        <f>HYPERLINK("#'کارنامه هوشمند'!A1", "مشاهده کارنامه ↗")</f>
        <v/>
      </c>
    </row>
    <row r="27" ht="12" customHeight="1" s="12"/>
    <row r="28" ht="26" customHeight="1" s="12">
      <c r="A28" s="40" t="inlineStr">
        <is>
          <t>۲. جدول جامع رصد و مانیتورینگ عملکرد ۳۲ ناحیه و کارمند استان اصفهان (تفکیک شاخص‌ها و حوزه‌ها)</t>
        </is>
      </c>
    </row>
    <row r="29" ht="24" customHeight="1" s="12">
      <c r="A29" s="66" t="inlineStr">
        <is>
          <t>مشخصات کلی ناحیه</t>
        </is>
      </c>
      <c r="B29" s="127" t="n"/>
      <c r="C29" s="128" t="n"/>
      <c r="D29" s="68" t="inlineStr">
        <is>
          <t>۱. حضوری و توانمندسازی (۳۱×)</t>
        </is>
      </c>
      <c r="E29" s="127" t="n"/>
      <c r="F29" s="128" t="n"/>
      <c r="G29" s="70" t="inlineStr">
        <is>
          <t>۲. مجازی و لایو (۲۱۷×)</t>
        </is>
      </c>
      <c r="H29" s="127" t="n"/>
      <c r="I29" s="128" t="n"/>
      <c r="J29" s="72" t="inlineStr">
        <is>
          <t>۳. اقدامات خلاقانه (۶۲×)</t>
        </is>
      </c>
      <c r="K29" s="127" t="n"/>
      <c r="L29" s="128" t="n"/>
      <c r="M29" s="74" t="inlineStr">
        <is>
          <t>۴. تولیدات رسانه‌ای (۳×)</t>
        </is>
      </c>
      <c r="N29" s="127" t="n"/>
      <c r="O29" s="128" t="n"/>
      <c r="P29" s="76" t="inlineStr">
        <is>
          <t>۵. نشست انجمن (۱×)</t>
        </is>
      </c>
      <c r="Q29" s="127" t="n"/>
      <c r="R29" s="128" t="n"/>
      <c r="S29" s="78" t="inlineStr">
        <is>
          <t>۶. اعضا</t>
        </is>
      </c>
      <c r="T29" s="79" t="inlineStr">
        <is>
          <t>ارزیابی نهایی و رتبه‌بندی استانی</t>
        </is>
      </c>
      <c r="U29" s="127" t="n"/>
      <c r="V29" s="127" t="n"/>
      <c r="W29" s="128" t="n"/>
    </row>
    <row r="30" ht="24" customHeight="1" s="12">
      <c r="A30" s="41" t="inlineStr">
        <is>
          <t>ردیف</t>
        </is>
      </c>
      <c r="B30" s="41" t="inlineStr">
        <is>
          <t>نام ناحیه (شهرستان)</t>
        </is>
      </c>
      <c r="C30" s="41" t="inlineStr">
        <is>
          <t>تعداد حوزه</t>
        </is>
      </c>
      <c r="D30" s="41" t="inlineStr">
        <is>
          <t>حد انتظار</t>
        </is>
      </c>
      <c r="E30" s="41" t="inlineStr">
        <is>
          <t>عملکرد</t>
        </is>
      </c>
      <c r="F30" s="41" t="inlineStr">
        <is>
          <t>درصد تحقق</t>
        </is>
      </c>
      <c r="G30" s="41" t="inlineStr">
        <is>
          <t>حد انتظار</t>
        </is>
      </c>
      <c r="H30" s="41" t="inlineStr">
        <is>
          <t>عملکرد</t>
        </is>
      </c>
      <c r="I30" s="41" t="inlineStr">
        <is>
          <t>درصد تحقق</t>
        </is>
      </c>
      <c r="J30" s="41" t="inlineStr">
        <is>
          <t>حد انتظار</t>
        </is>
      </c>
      <c r="K30" s="41" t="inlineStr">
        <is>
          <t>عملکرد</t>
        </is>
      </c>
      <c r="L30" s="41" t="inlineStr">
        <is>
          <t>درصد تحقق</t>
        </is>
      </c>
      <c r="M30" s="41" t="inlineStr">
        <is>
          <t>حد انتظار</t>
        </is>
      </c>
      <c r="N30" s="41" t="inlineStr">
        <is>
          <t>عملکرد</t>
        </is>
      </c>
      <c r="O30" s="41" t="inlineStr">
        <is>
          <t>درصد تحقق</t>
        </is>
      </c>
      <c r="P30" s="41" t="inlineStr">
        <is>
          <t>حد انتظار</t>
        </is>
      </c>
      <c r="Q30" s="41" t="inlineStr">
        <is>
          <t>عملکرد</t>
        </is>
      </c>
      <c r="R30" s="41" t="inlineStr">
        <is>
          <t>درصد تحقق</t>
        </is>
      </c>
      <c r="S30" s="41" t="inlineStr">
        <is>
          <t>اعضای انجمن</t>
        </is>
      </c>
      <c r="T30" s="41" t="inlineStr">
        <is>
          <t>نمره کل عملکرد (۷۰-۱۰۰)</t>
        </is>
      </c>
      <c r="U30" s="41" t="inlineStr">
        <is>
          <t>رتبه استانی</t>
        </is>
      </c>
      <c r="V30" s="41" t="inlineStr">
        <is>
          <t>سطح ارزیابی (۳ سطح)</t>
        </is>
      </c>
      <c r="W30" s="41" t="inlineStr">
        <is>
          <t>وضعیت گزارش</t>
        </is>
      </c>
    </row>
    <row r="31" ht="20.5" customHeight="1" s="12">
      <c r="A31" s="60" t="n">
        <v>1</v>
      </c>
      <c r="B31" s="81" t="inlineStr">
        <is>
          <t>آران و بیدگل</t>
        </is>
      </c>
      <c r="C31" s="82">
        <f>VLOOKUP($B31, 'پایگاه داده حد انتظار'!$A$2:$H$33, 2, FALSE)</f>
        <v/>
      </c>
      <c r="D31" s="44">
        <f>VLOOKUP($B31, 'پایگاه داده حد انتظار'!$A$2:$H$33, 3, FALSE)</f>
        <v/>
      </c>
      <c r="E31" s="44">
        <f>IFERROR(VLOOKUP($B31, 'گزارش عملکرد ماهانه'!$A$2:$F$33, 2, FALSE), 0)</f>
        <v/>
      </c>
      <c r="F31" s="45">
        <f>IFERROR(E31/D31, 0)</f>
        <v/>
      </c>
      <c r="G31" s="44">
        <f>VLOOKUP($B31, 'پایگاه داده حد انتظار'!$A$2:$H$33, 4, FALSE)</f>
        <v/>
      </c>
      <c r="H31" s="44">
        <f>IFERROR(VLOOKUP($B31, 'گزارش عملکرد ماهانه'!$A$2:$F$33, 3, FALSE), 0)</f>
        <v/>
      </c>
      <c r="I31" s="45">
        <f>IFERROR(H31/G31, 0)</f>
        <v/>
      </c>
      <c r="J31" s="44">
        <f>VLOOKUP($B31, 'پایگاه داده حد انتظار'!$A$2:$H$33, 5, FALSE)</f>
        <v/>
      </c>
      <c r="K31" s="44">
        <f>IFERROR(VLOOKUP($B31, 'گزارش عملکرد ماهانه'!$A$2:$F$33, 4, FALSE), 0)</f>
        <v/>
      </c>
      <c r="L31" s="45">
        <f>IFERROR(K31/J31, 0)</f>
        <v/>
      </c>
      <c r="M31" s="44">
        <f>VLOOKUP($B31, 'پایگاه داده حد انتظار'!$A$2:$H$33, 6, FALSE)</f>
        <v/>
      </c>
      <c r="N31" s="44">
        <f>IFERROR(VLOOKUP($B31, 'گزارش عملکرد ماهانه'!$A$2:$F$33, 5, FALSE), 0)</f>
        <v/>
      </c>
      <c r="O31" s="45">
        <f>IFERROR(N31/M31, 0)</f>
        <v/>
      </c>
      <c r="P31" s="44">
        <f>VLOOKUP($B31, 'پایگاه داده حد انتظار'!$A$2:$H$33, 7, FALSE)</f>
        <v/>
      </c>
      <c r="Q31" s="44">
        <f>IFERROR(VLOOKUP($B31, 'گزارش عملکرد ماهانه'!$A$2:$F$33, 6, FALSE), 0)</f>
        <v/>
      </c>
      <c r="R31" s="45">
        <f>IFERROR(Q31/P31, 0)</f>
        <v/>
      </c>
      <c r="S31" s="44">
        <f>VLOOKUP($B31, 'پایگاه داده حد انتظار'!$A$2:$H$33, 8, FALSE)</f>
        <v/>
      </c>
      <c r="T31" s="83">
        <f>ROUND(70 + 30 * (MIN(0.4, 0.1*F31 + 0.3*I31) + MIN(0.5, 0.5*L31 + MAX(0, 0.1*F31 + 0.3*I31 - 0.4)) + MIN(0.1, 0.1*O31)), 1)</f>
        <v/>
      </c>
      <c r="U31" s="58">
        <f>IF(T31&gt;70, RANK(T31, $T$31:$T$62), "-")</f>
        <v/>
      </c>
      <c r="V31" s="60">
        <f>IF(T31&lt;=70, "ضعیف", IF(T31&gt;=90, "عالی", "متوسط"))</f>
        <v/>
      </c>
      <c r="W31" s="60">
        <f>IF((E31+H31+K31+N31+Q31)&gt;0, "ثبت شده", "فاقد گزارش")</f>
        <v/>
      </c>
    </row>
    <row r="32" ht="20.5" customHeight="1" s="12">
      <c r="A32" s="64" t="n">
        <v>2</v>
      </c>
      <c r="B32" s="84" t="inlineStr">
        <is>
          <t>امام حسین(ع)</t>
        </is>
      </c>
      <c r="C32" s="85">
        <f>VLOOKUP($B32, 'پایگاه داده حد انتظار'!$A$2:$H$33, 2, FALSE)</f>
        <v/>
      </c>
      <c r="D32" s="48">
        <f>VLOOKUP($B32, 'پایگاه داده حد انتظار'!$A$2:$H$33, 3, FALSE)</f>
        <v/>
      </c>
      <c r="E32" s="48">
        <f>IFERROR(VLOOKUP($B32, 'گزارش عملکرد ماهانه'!$A$2:$F$33, 2, FALSE), 0)</f>
        <v/>
      </c>
      <c r="F32" s="49">
        <f>IFERROR(E32/D32, 0)</f>
        <v/>
      </c>
      <c r="G32" s="48">
        <f>VLOOKUP($B32, 'پایگاه داده حد انتظار'!$A$2:$H$33, 4, FALSE)</f>
        <v/>
      </c>
      <c r="H32" s="48">
        <f>IFERROR(VLOOKUP($B32, 'گزارش عملکرد ماهانه'!$A$2:$F$33, 3, FALSE), 0)</f>
        <v/>
      </c>
      <c r="I32" s="49">
        <f>IFERROR(H32/G32, 0)</f>
        <v/>
      </c>
      <c r="J32" s="48">
        <f>VLOOKUP($B32, 'پایگاه داده حد انتظار'!$A$2:$H$33, 5, FALSE)</f>
        <v/>
      </c>
      <c r="K32" s="48">
        <f>IFERROR(VLOOKUP($B32, 'گزارش عملکرد ماهانه'!$A$2:$F$33, 4, FALSE), 0)</f>
        <v/>
      </c>
      <c r="L32" s="49">
        <f>IFERROR(K32/J32, 0)</f>
        <v/>
      </c>
      <c r="M32" s="48">
        <f>VLOOKUP($B32, 'پایگاه داده حد انتظار'!$A$2:$H$33, 6, FALSE)</f>
        <v/>
      </c>
      <c r="N32" s="48">
        <f>IFERROR(VLOOKUP($B32, 'گزارش عملکرد ماهانه'!$A$2:$F$33, 5, FALSE), 0)</f>
        <v/>
      </c>
      <c r="O32" s="49">
        <f>IFERROR(N32/M32, 0)</f>
        <v/>
      </c>
      <c r="P32" s="48">
        <f>VLOOKUP($B32, 'پایگاه داده حد انتظار'!$A$2:$H$33, 7, FALSE)</f>
        <v/>
      </c>
      <c r="Q32" s="48">
        <f>IFERROR(VLOOKUP($B32, 'گزارش عملکرد ماهانه'!$A$2:$F$33, 6, FALSE), 0)</f>
        <v/>
      </c>
      <c r="R32" s="49">
        <f>IFERROR(Q32/P32, 0)</f>
        <v/>
      </c>
      <c r="S32" s="48">
        <f>VLOOKUP($B32, 'پایگاه داده حد انتظار'!$A$2:$H$33, 8, FALSE)</f>
        <v/>
      </c>
      <c r="T32" s="86">
        <f>ROUND(70 + 30 * (MIN(0.4, 0.1*F32 + 0.3*I32) + MIN(0.5, 0.5*L32 + MAX(0, 0.1*F32 + 0.3*I32 - 0.4)) + MIN(0.1, 0.1*O32)), 1)</f>
        <v/>
      </c>
      <c r="U32" s="62">
        <f>IF(T32&gt;70, RANK(T32, $T$31:$T$62), "-")</f>
        <v/>
      </c>
      <c r="V32" s="64">
        <f>IF(T32&lt;=70, "ضعیف", IF(T32&gt;=90, "عالی", "متوسط"))</f>
        <v/>
      </c>
      <c r="W32" s="64">
        <f>IF((E32+H32+K32+N32+Q32)&gt;0, "ثبت شده", "فاقد گزارش")</f>
        <v/>
      </c>
    </row>
    <row r="33" ht="20.5" customHeight="1" s="12">
      <c r="A33" s="60" t="n">
        <v>3</v>
      </c>
      <c r="B33" s="81" t="inlineStr">
        <is>
          <t>امام رضا(ع)</t>
        </is>
      </c>
      <c r="C33" s="82">
        <f>VLOOKUP($B33, 'پایگاه داده حد انتظار'!$A$2:$H$33, 2, FALSE)</f>
        <v/>
      </c>
      <c r="D33" s="44">
        <f>VLOOKUP($B33, 'پایگاه داده حد انتظار'!$A$2:$H$33, 3, FALSE)</f>
        <v/>
      </c>
      <c r="E33" s="44">
        <f>IFERROR(VLOOKUP($B33, 'گزارش عملکرد ماهانه'!$A$2:$F$33, 2, FALSE), 0)</f>
        <v/>
      </c>
      <c r="F33" s="45">
        <f>IFERROR(E33/D33, 0)</f>
        <v/>
      </c>
      <c r="G33" s="44">
        <f>VLOOKUP($B33, 'پایگاه داده حد انتظار'!$A$2:$H$33, 4, FALSE)</f>
        <v/>
      </c>
      <c r="H33" s="44">
        <f>IFERROR(VLOOKUP($B33, 'گزارش عملکرد ماهانه'!$A$2:$F$33, 3, FALSE), 0)</f>
        <v/>
      </c>
      <c r="I33" s="45">
        <f>IFERROR(H33/G33, 0)</f>
        <v/>
      </c>
      <c r="J33" s="44">
        <f>VLOOKUP($B33, 'پایگاه داده حد انتظار'!$A$2:$H$33, 5, FALSE)</f>
        <v/>
      </c>
      <c r="K33" s="44">
        <f>IFERROR(VLOOKUP($B33, 'گزارش عملکرد ماهانه'!$A$2:$F$33, 4, FALSE), 0)</f>
        <v/>
      </c>
      <c r="L33" s="45">
        <f>IFERROR(K33/J33, 0)</f>
        <v/>
      </c>
      <c r="M33" s="44">
        <f>VLOOKUP($B33, 'پایگاه داده حد انتظار'!$A$2:$H$33, 6, FALSE)</f>
        <v/>
      </c>
      <c r="N33" s="44">
        <f>IFERROR(VLOOKUP($B33, 'گزارش عملکرد ماهانه'!$A$2:$F$33, 5, FALSE), 0)</f>
        <v/>
      </c>
      <c r="O33" s="45">
        <f>IFERROR(N33/M33, 0)</f>
        <v/>
      </c>
      <c r="P33" s="44">
        <f>VLOOKUP($B33, 'پایگاه داده حد انتظار'!$A$2:$H$33, 7, FALSE)</f>
        <v/>
      </c>
      <c r="Q33" s="44">
        <f>IFERROR(VLOOKUP($B33, 'گزارش عملکرد ماهانه'!$A$2:$F$33, 6, FALSE), 0)</f>
        <v/>
      </c>
      <c r="R33" s="45">
        <f>IFERROR(Q33/P33, 0)</f>
        <v/>
      </c>
      <c r="S33" s="44">
        <f>VLOOKUP($B33, 'پایگاه داده حد انتظار'!$A$2:$H$33, 8, FALSE)</f>
        <v/>
      </c>
      <c r="T33" s="83">
        <f>ROUND(70 + 30 * (MIN(0.4, 0.1*F33 + 0.3*I33) + MIN(0.5, 0.5*L33 + MAX(0, 0.1*F33 + 0.3*I33 - 0.4)) + MIN(0.1, 0.1*O33)), 1)</f>
        <v/>
      </c>
      <c r="U33" s="58">
        <f>IF(T33&gt;70, RANK(T33, $T$31:$T$62), "-")</f>
        <v/>
      </c>
      <c r="V33" s="60">
        <f>IF(T33&lt;=70, "ضعیف", IF(T33&gt;=90, "عالی", "متوسط"))</f>
        <v/>
      </c>
      <c r="W33" s="60">
        <f>IF((E33+H33+K33+N33+Q33)&gt;0, "ثبت شده", "فاقد گزارش")</f>
        <v/>
      </c>
    </row>
    <row r="34" ht="20.5" customHeight="1" s="12">
      <c r="A34" s="64" t="n">
        <v>4</v>
      </c>
      <c r="B34" s="84" t="inlineStr">
        <is>
          <t>امام صادق(ع)</t>
        </is>
      </c>
      <c r="C34" s="85">
        <f>VLOOKUP($B34, 'پایگاه داده حد انتظار'!$A$2:$H$33, 2, FALSE)</f>
        <v/>
      </c>
      <c r="D34" s="48">
        <f>VLOOKUP($B34, 'پایگاه داده حد انتظار'!$A$2:$H$33, 3, FALSE)</f>
        <v/>
      </c>
      <c r="E34" s="48">
        <f>IFERROR(VLOOKUP($B34, 'گزارش عملکرد ماهانه'!$A$2:$F$33, 2, FALSE), 0)</f>
        <v/>
      </c>
      <c r="F34" s="49">
        <f>IFERROR(E34/D34, 0)</f>
        <v/>
      </c>
      <c r="G34" s="48">
        <f>VLOOKUP($B34, 'پایگاه داده حد انتظار'!$A$2:$H$33, 4, FALSE)</f>
        <v/>
      </c>
      <c r="H34" s="48">
        <f>IFERROR(VLOOKUP($B34, 'گزارش عملکرد ماهانه'!$A$2:$F$33, 3, FALSE), 0)</f>
        <v/>
      </c>
      <c r="I34" s="49">
        <f>IFERROR(H34/G34, 0)</f>
        <v/>
      </c>
      <c r="J34" s="48">
        <f>VLOOKUP($B34, 'پایگاه داده حد انتظار'!$A$2:$H$33, 5, FALSE)</f>
        <v/>
      </c>
      <c r="K34" s="48">
        <f>IFERROR(VLOOKUP($B34, 'گزارش عملکرد ماهانه'!$A$2:$F$33, 4, FALSE), 0)</f>
        <v/>
      </c>
      <c r="L34" s="49">
        <f>IFERROR(K34/J34, 0)</f>
        <v/>
      </c>
      <c r="M34" s="48">
        <f>VLOOKUP($B34, 'پایگاه داده حد انتظار'!$A$2:$H$33, 6, FALSE)</f>
        <v/>
      </c>
      <c r="N34" s="48">
        <f>IFERROR(VLOOKUP($B34, 'گزارش عملکرد ماهانه'!$A$2:$F$33, 5, FALSE), 0)</f>
        <v/>
      </c>
      <c r="O34" s="49">
        <f>IFERROR(N34/M34, 0)</f>
        <v/>
      </c>
      <c r="P34" s="48">
        <f>VLOOKUP($B34, 'پایگاه داده حد انتظار'!$A$2:$H$33, 7, FALSE)</f>
        <v/>
      </c>
      <c r="Q34" s="48">
        <f>IFERROR(VLOOKUP($B34, 'گزارش عملکرد ماهانه'!$A$2:$F$33, 6, FALSE), 0)</f>
        <v/>
      </c>
      <c r="R34" s="49">
        <f>IFERROR(Q34/P34, 0)</f>
        <v/>
      </c>
      <c r="S34" s="48">
        <f>VLOOKUP($B34, 'پایگاه داده حد انتظار'!$A$2:$H$33, 8, FALSE)</f>
        <v/>
      </c>
      <c r="T34" s="86">
        <f>ROUND(70 + 30 * (MIN(0.4, 0.1*F34 + 0.3*I34) + MIN(0.5, 0.5*L34 + MAX(0, 0.1*F34 + 0.3*I34 - 0.4)) + MIN(0.1, 0.1*O34)), 1)</f>
        <v/>
      </c>
      <c r="U34" s="62">
        <f>IF(T34&gt;70, RANK(T34, $T$31:$T$62), "-")</f>
        <v/>
      </c>
      <c r="V34" s="64">
        <f>IF(T34&lt;=70, "ضعیف", IF(T34&gt;=90, "عالی", "متوسط"))</f>
        <v/>
      </c>
      <c r="W34" s="64">
        <f>IF((E34+H34+K34+N34+Q34)&gt;0, "ثبت شده", "فاقد گزارش")</f>
        <v/>
      </c>
    </row>
    <row r="35" ht="20.5" customHeight="1" s="12">
      <c r="A35" s="60" t="n">
        <v>5</v>
      </c>
      <c r="B35" s="81" t="inlineStr">
        <is>
          <t>امام علی(ع)</t>
        </is>
      </c>
      <c r="C35" s="82">
        <f>VLOOKUP($B35, 'پایگاه داده حد انتظار'!$A$2:$H$33, 2, FALSE)</f>
        <v/>
      </c>
      <c r="D35" s="44">
        <f>VLOOKUP($B35, 'پایگاه داده حد انتظار'!$A$2:$H$33, 3, FALSE)</f>
        <v/>
      </c>
      <c r="E35" s="44">
        <f>IFERROR(VLOOKUP($B35, 'گزارش عملکرد ماهانه'!$A$2:$F$33, 2, FALSE), 0)</f>
        <v/>
      </c>
      <c r="F35" s="45">
        <f>IFERROR(E35/D35, 0)</f>
        <v/>
      </c>
      <c r="G35" s="44">
        <f>VLOOKUP($B35, 'پایگاه داده حد انتظار'!$A$2:$H$33, 4, FALSE)</f>
        <v/>
      </c>
      <c r="H35" s="44">
        <f>IFERROR(VLOOKUP($B35, 'گزارش عملکرد ماهانه'!$A$2:$F$33, 3, FALSE), 0)</f>
        <v/>
      </c>
      <c r="I35" s="45">
        <f>IFERROR(H35/G35, 0)</f>
        <v/>
      </c>
      <c r="J35" s="44">
        <f>VLOOKUP($B35, 'پایگاه داده حد انتظار'!$A$2:$H$33, 5, FALSE)</f>
        <v/>
      </c>
      <c r="K35" s="44">
        <f>IFERROR(VLOOKUP($B35, 'گزارش عملکرد ماهانه'!$A$2:$F$33, 4, FALSE), 0)</f>
        <v/>
      </c>
      <c r="L35" s="45">
        <f>IFERROR(K35/J35, 0)</f>
        <v/>
      </c>
      <c r="M35" s="44">
        <f>VLOOKUP($B35, 'پایگاه داده حد انتظار'!$A$2:$H$33, 6, FALSE)</f>
        <v/>
      </c>
      <c r="N35" s="44">
        <f>IFERROR(VLOOKUP($B35, 'گزارش عملکرد ماهانه'!$A$2:$F$33, 5, FALSE), 0)</f>
        <v/>
      </c>
      <c r="O35" s="45">
        <f>IFERROR(N35/M35, 0)</f>
        <v/>
      </c>
      <c r="P35" s="44">
        <f>VLOOKUP($B35, 'پایگاه داده حد انتظار'!$A$2:$H$33, 7, FALSE)</f>
        <v/>
      </c>
      <c r="Q35" s="44">
        <f>IFERROR(VLOOKUP($B35, 'گزارش عملکرد ماهانه'!$A$2:$F$33, 6, FALSE), 0)</f>
        <v/>
      </c>
      <c r="R35" s="45">
        <f>IFERROR(Q35/P35, 0)</f>
        <v/>
      </c>
      <c r="S35" s="44">
        <f>VLOOKUP($B35, 'پایگاه داده حد انتظار'!$A$2:$H$33, 8, FALSE)</f>
        <v/>
      </c>
      <c r="T35" s="83">
        <f>ROUND(70 + 30 * (MIN(0.4, 0.1*F35 + 0.3*I35) + MIN(0.5, 0.5*L35 + MAX(0, 0.1*F35 + 0.3*I35 - 0.4)) + MIN(0.1, 0.1*O35)), 1)</f>
        <v/>
      </c>
      <c r="U35" s="58">
        <f>IF(T35&gt;70, RANK(T35, $T$31:$T$62), "-")</f>
        <v/>
      </c>
      <c r="V35" s="60">
        <f>IF(T35&lt;=70, "ضعیف", IF(T35&gt;=90, "عالی", "متوسط"))</f>
        <v/>
      </c>
      <c r="W35" s="60">
        <f>IF((E35+H35+K35+N35+Q35)&gt;0, "ثبت شده", "فاقد گزارش")</f>
        <v/>
      </c>
    </row>
    <row r="36" ht="20.5" customHeight="1" s="12">
      <c r="A36" s="64" t="n">
        <v>6</v>
      </c>
      <c r="B36" s="84" t="inlineStr">
        <is>
          <t>اردستان</t>
        </is>
      </c>
      <c r="C36" s="85">
        <f>VLOOKUP($B36, 'پایگاه داده حد انتظار'!$A$2:$H$33, 2, FALSE)</f>
        <v/>
      </c>
      <c r="D36" s="48">
        <f>VLOOKUP($B36, 'پایگاه داده حد انتظار'!$A$2:$H$33, 3, FALSE)</f>
        <v/>
      </c>
      <c r="E36" s="48">
        <f>IFERROR(VLOOKUP($B36, 'گزارش عملکرد ماهانه'!$A$2:$F$33, 2, FALSE), 0)</f>
        <v/>
      </c>
      <c r="F36" s="49">
        <f>IFERROR(E36/D36, 0)</f>
        <v/>
      </c>
      <c r="G36" s="48">
        <f>VLOOKUP($B36, 'پایگاه داده حد انتظار'!$A$2:$H$33, 4, FALSE)</f>
        <v/>
      </c>
      <c r="H36" s="48">
        <f>IFERROR(VLOOKUP($B36, 'گزارش عملکرد ماهانه'!$A$2:$F$33, 3, FALSE), 0)</f>
        <v/>
      </c>
      <c r="I36" s="49">
        <f>IFERROR(H36/G36, 0)</f>
        <v/>
      </c>
      <c r="J36" s="48">
        <f>VLOOKUP($B36, 'پایگاه داده حد انتظار'!$A$2:$H$33, 5, FALSE)</f>
        <v/>
      </c>
      <c r="K36" s="48">
        <f>IFERROR(VLOOKUP($B36, 'گزارش عملکرد ماهانه'!$A$2:$F$33, 4, FALSE), 0)</f>
        <v/>
      </c>
      <c r="L36" s="49">
        <f>IFERROR(K36/J36, 0)</f>
        <v/>
      </c>
      <c r="M36" s="48">
        <f>VLOOKUP($B36, 'پایگاه داده حد انتظار'!$A$2:$H$33, 6, FALSE)</f>
        <v/>
      </c>
      <c r="N36" s="48">
        <f>IFERROR(VLOOKUP($B36, 'گزارش عملکرد ماهانه'!$A$2:$F$33, 5, FALSE), 0)</f>
        <v/>
      </c>
      <c r="O36" s="49">
        <f>IFERROR(N36/M36, 0)</f>
        <v/>
      </c>
      <c r="P36" s="48">
        <f>VLOOKUP($B36, 'پایگاه داده حد انتظار'!$A$2:$H$33, 7, FALSE)</f>
        <v/>
      </c>
      <c r="Q36" s="48">
        <f>IFERROR(VLOOKUP($B36, 'گزارش عملکرد ماهانه'!$A$2:$F$33, 6, FALSE), 0)</f>
        <v/>
      </c>
      <c r="R36" s="49">
        <f>IFERROR(Q36/P36, 0)</f>
        <v/>
      </c>
      <c r="S36" s="48">
        <f>VLOOKUP($B36, 'پایگاه داده حد انتظار'!$A$2:$H$33, 8, FALSE)</f>
        <v/>
      </c>
      <c r="T36" s="86">
        <f>ROUND(70 + 30 * (MIN(0.4, 0.1*F36 + 0.3*I36) + MIN(0.5, 0.5*L36 + MAX(0, 0.1*F36 + 0.3*I36 - 0.4)) + MIN(0.1, 0.1*O36)), 1)</f>
        <v/>
      </c>
      <c r="U36" s="62">
        <f>IF(T36&gt;70, RANK(T36, $T$31:$T$62), "-")</f>
        <v/>
      </c>
      <c r="V36" s="64">
        <f>IF(T36&lt;=70, "ضعیف", IF(T36&gt;=90, "عالی", "متوسط"))</f>
        <v/>
      </c>
      <c r="W36" s="64">
        <f>IF((E36+H36+K36+N36+Q36)&gt;0, "ثبت شده", "فاقد گزارش")</f>
        <v/>
      </c>
    </row>
    <row r="37" ht="20.5" customHeight="1" s="12">
      <c r="A37" s="60" t="n">
        <v>7</v>
      </c>
      <c r="B37" s="81" t="inlineStr">
        <is>
          <t>برخوار</t>
        </is>
      </c>
      <c r="C37" s="82">
        <f>VLOOKUP($B37, 'پایگاه داده حد انتظار'!$A$2:$H$33, 2, FALSE)</f>
        <v/>
      </c>
      <c r="D37" s="44">
        <f>VLOOKUP($B37, 'پایگاه داده حد انتظار'!$A$2:$H$33, 3, FALSE)</f>
        <v/>
      </c>
      <c r="E37" s="44">
        <f>IFERROR(VLOOKUP($B37, 'گزارش عملکرد ماهانه'!$A$2:$F$33, 2, FALSE), 0)</f>
        <v/>
      </c>
      <c r="F37" s="45">
        <f>IFERROR(E37/D37, 0)</f>
        <v/>
      </c>
      <c r="G37" s="44">
        <f>VLOOKUP($B37, 'پایگاه داده حد انتظار'!$A$2:$H$33, 4, FALSE)</f>
        <v/>
      </c>
      <c r="H37" s="44">
        <f>IFERROR(VLOOKUP($B37, 'گزارش عملکرد ماهانه'!$A$2:$F$33, 3, FALSE), 0)</f>
        <v/>
      </c>
      <c r="I37" s="45">
        <f>IFERROR(H37/G37, 0)</f>
        <v/>
      </c>
      <c r="J37" s="44">
        <f>VLOOKUP($B37, 'پایگاه داده حد انتظار'!$A$2:$H$33, 5, FALSE)</f>
        <v/>
      </c>
      <c r="K37" s="44">
        <f>IFERROR(VLOOKUP($B37, 'گزارش عملکرد ماهانه'!$A$2:$F$33, 4, FALSE), 0)</f>
        <v/>
      </c>
      <c r="L37" s="45">
        <f>IFERROR(K37/J37, 0)</f>
        <v/>
      </c>
      <c r="M37" s="44">
        <f>VLOOKUP($B37, 'پایگاه داده حد انتظار'!$A$2:$H$33, 6, FALSE)</f>
        <v/>
      </c>
      <c r="N37" s="44">
        <f>IFERROR(VLOOKUP($B37, 'گزارش عملکرد ماهانه'!$A$2:$F$33, 5, FALSE), 0)</f>
        <v/>
      </c>
      <c r="O37" s="45">
        <f>IFERROR(N37/M37, 0)</f>
        <v/>
      </c>
      <c r="P37" s="44">
        <f>VLOOKUP($B37, 'پایگاه داده حد انتظار'!$A$2:$H$33, 7, FALSE)</f>
        <v/>
      </c>
      <c r="Q37" s="44">
        <f>IFERROR(VLOOKUP($B37, 'گزارش عملکرد ماهانه'!$A$2:$F$33, 6, FALSE), 0)</f>
        <v/>
      </c>
      <c r="R37" s="45">
        <f>IFERROR(Q37/P37, 0)</f>
        <v/>
      </c>
      <c r="S37" s="44">
        <f>VLOOKUP($B37, 'پایگاه داده حد انتظار'!$A$2:$H$33, 8, FALSE)</f>
        <v/>
      </c>
      <c r="T37" s="83">
        <f>ROUND(70 + 30 * (MIN(0.4, 0.1*F37 + 0.3*I37) + MIN(0.5, 0.5*L37 + MAX(0, 0.1*F37 + 0.3*I37 - 0.4)) + MIN(0.1, 0.1*O37)), 1)</f>
        <v/>
      </c>
      <c r="U37" s="58">
        <f>IF(T37&gt;70, RANK(T37, $T$31:$T$62), "-")</f>
        <v/>
      </c>
      <c r="V37" s="60">
        <f>IF(T37&lt;=70, "ضعیف", IF(T37&gt;=90, "عالی", "متوسط"))</f>
        <v/>
      </c>
      <c r="W37" s="60">
        <f>IF((E37+H37+K37+N37+Q37)&gt;0, "ثبت شده", "فاقد گزارش")</f>
        <v/>
      </c>
    </row>
    <row r="38" ht="20.5" customHeight="1" s="12">
      <c r="A38" s="64" t="n">
        <v>8</v>
      </c>
      <c r="B38" s="84" t="inlineStr">
        <is>
          <t>بویین و میاندشت</t>
        </is>
      </c>
      <c r="C38" s="85">
        <f>VLOOKUP($B38, 'پایگاه داده حد انتظار'!$A$2:$H$33, 2, FALSE)</f>
        <v/>
      </c>
      <c r="D38" s="48">
        <f>VLOOKUP($B38, 'پایگاه داده حد انتظار'!$A$2:$H$33, 3, FALSE)</f>
        <v/>
      </c>
      <c r="E38" s="48">
        <f>IFERROR(VLOOKUP($B38, 'گزارش عملکرد ماهانه'!$A$2:$F$33, 2, FALSE), 0)</f>
        <v/>
      </c>
      <c r="F38" s="49">
        <f>IFERROR(E38/D38, 0)</f>
        <v/>
      </c>
      <c r="G38" s="48">
        <f>VLOOKUP($B38, 'پایگاه داده حد انتظار'!$A$2:$H$33, 4, FALSE)</f>
        <v/>
      </c>
      <c r="H38" s="48">
        <f>IFERROR(VLOOKUP($B38, 'گزارش عملکرد ماهانه'!$A$2:$F$33, 3, FALSE), 0)</f>
        <v/>
      </c>
      <c r="I38" s="49">
        <f>IFERROR(H38/G38, 0)</f>
        <v/>
      </c>
      <c r="J38" s="48">
        <f>VLOOKUP($B38, 'پایگاه داده حد انتظار'!$A$2:$H$33, 5, FALSE)</f>
        <v/>
      </c>
      <c r="K38" s="48">
        <f>IFERROR(VLOOKUP($B38, 'گزارش عملکرد ماهانه'!$A$2:$F$33, 4, FALSE), 0)</f>
        <v/>
      </c>
      <c r="L38" s="49">
        <f>IFERROR(K38/J38, 0)</f>
        <v/>
      </c>
      <c r="M38" s="48">
        <f>VLOOKUP($B38, 'پایگاه داده حد انتظار'!$A$2:$H$33, 6, FALSE)</f>
        <v/>
      </c>
      <c r="N38" s="48">
        <f>IFERROR(VLOOKUP($B38, 'گزارش عملکرد ماهانه'!$A$2:$F$33, 5, FALSE), 0)</f>
        <v/>
      </c>
      <c r="O38" s="49">
        <f>IFERROR(N38/M38, 0)</f>
        <v/>
      </c>
      <c r="P38" s="48">
        <f>VLOOKUP($B38, 'پایگاه داده حد انتظار'!$A$2:$H$33, 7, FALSE)</f>
        <v/>
      </c>
      <c r="Q38" s="48">
        <f>IFERROR(VLOOKUP($B38, 'گزارش عملکرد ماهانه'!$A$2:$F$33, 6, FALSE), 0)</f>
        <v/>
      </c>
      <c r="R38" s="49">
        <f>IFERROR(Q38/P38, 0)</f>
        <v/>
      </c>
      <c r="S38" s="48">
        <f>VLOOKUP($B38, 'پایگاه داده حد انتظار'!$A$2:$H$33, 8, FALSE)</f>
        <v/>
      </c>
      <c r="T38" s="86">
        <f>ROUND(70 + 30 * (MIN(0.4, 0.1*F38 + 0.3*I38) + MIN(0.5, 0.5*L38 + MAX(0, 0.1*F38 + 0.3*I38 - 0.4)) + MIN(0.1, 0.1*O38)), 1)</f>
        <v/>
      </c>
      <c r="U38" s="62">
        <f>IF(T38&gt;70, RANK(T38, $T$31:$T$62), "-")</f>
        <v/>
      </c>
      <c r="V38" s="64">
        <f>IF(T38&lt;=70, "ضعیف", IF(T38&gt;=90, "عالی", "متوسط"))</f>
        <v/>
      </c>
      <c r="W38" s="64">
        <f>IF((E38+H38+K38+N38+Q38)&gt;0, "ثبت شده", "فاقد گزارش")</f>
        <v/>
      </c>
    </row>
    <row r="39" ht="20.5" customHeight="1" s="12">
      <c r="A39" s="60" t="n">
        <v>9</v>
      </c>
      <c r="B39" s="81" t="inlineStr">
        <is>
          <t>تیران و کرون</t>
        </is>
      </c>
      <c r="C39" s="82">
        <f>VLOOKUP($B39, 'پایگاه داده حد انتظار'!$A$2:$H$33, 2, FALSE)</f>
        <v/>
      </c>
      <c r="D39" s="44">
        <f>VLOOKUP($B39, 'پایگاه داده حد انتظار'!$A$2:$H$33, 3, FALSE)</f>
        <v/>
      </c>
      <c r="E39" s="44">
        <f>IFERROR(VLOOKUP($B39, 'گزارش عملکرد ماهانه'!$A$2:$F$33, 2, FALSE), 0)</f>
        <v/>
      </c>
      <c r="F39" s="45">
        <f>IFERROR(E39/D39, 0)</f>
        <v/>
      </c>
      <c r="G39" s="44">
        <f>VLOOKUP($B39, 'پایگاه داده حد انتظار'!$A$2:$H$33, 4, FALSE)</f>
        <v/>
      </c>
      <c r="H39" s="44">
        <f>IFERROR(VLOOKUP($B39, 'گزارش عملکرد ماهانه'!$A$2:$F$33, 3, FALSE), 0)</f>
        <v/>
      </c>
      <c r="I39" s="45">
        <f>IFERROR(H39/G39, 0)</f>
        <v/>
      </c>
      <c r="J39" s="44">
        <f>VLOOKUP($B39, 'پایگاه داده حد انتظار'!$A$2:$H$33, 5, FALSE)</f>
        <v/>
      </c>
      <c r="K39" s="44">
        <f>IFERROR(VLOOKUP($B39, 'گزارش عملکرد ماهانه'!$A$2:$F$33, 4, FALSE), 0)</f>
        <v/>
      </c>
      <c r="L39" s="45">
        <f>IFERROR(K39/J39, 0)</f>
        <v/>
      </c>
      <c r="M39" s="44">
        <f>VLOOKUP($B39, 'پایگاه داده حد انتظار'!$A$2:$H$33, 6, FALSE)</f>
        <v/>
      </c>
      <c r="N39" s="44">
        <f>IFERROR(VLOOKUP($B39, 'گزارش عملکرد ماهانه'!$A$2:$F$33, 5, FALSE), 0)</f>
        <v/>
      </c>
      <c r="O39" s="45">
        <f>IFERROR(N39/M39, 0)</f>
        <v/>
      </c>
      <c r="P39" s="44">
        <f>VLOOKUP($B39, 'پایگاه داده حد انتظار'!$A$2:$H$33, 7, FALSE)</f>
        <v/>
      </c>
      <c r="Q39" s="44">
        <f>IFERROR(VLOOKUP($B39, 'گزارش عملکرد ماهانه'!$A$2:$F$33, 6, FALSE), 0)</f>
        <v/>
      </c>
      <c r="R39" s="45">
        <f>IFERROR(Q39/P39, 0)</f>
        <v/>
      </c>
      <c r="S39" s="44">
        <f>VLOOKUP($B39, 'پایگاه داده حد انتظار'!$A$2:$H$33, 8, FALSE)</f>
        <v/>
      </c>
      <c r="T39" s="83">
        <f>ROUND(70 + 30 * (MIN(0.4, 0.1*F39 + 0.3*I39) + MIN(0.5, 0.5*L39 + MAX(0, 0.1*F39 + 0.3*I39 - 0.4)) + MIN(0.1, 0.1*O39)), 1)</f>
        <v/>
      </c>
      <c r="U39" s="58">
        <f>IF(T39&gt;70, RANK(T39, $T$31:$T$62), "-")</f>
        <v/>
      </c>
      <c r="V39" s="60">
        <f>IF(T39&lt;=70, "ضعیف", IF(T39&gt;=90, "عالی", "متوسط"))</f>
        <v/>
      </c>
      <c r="W39" s="60">
        <f>IF((E39+H39+K39+N39+Q39)&gt;0, "ثبت شده", "فاقد گزارش")</f>
        <v/>
      </c>
    </row>
    <row r="40" ht="20.5" customHeight="1" s="12">
      <c r="A40" s="64" t="n">
        <v>10</v>
      </c>
      <c r="B40" s="84" t="inlineStr">
        <is>
          <t>جرقویه</t>
        </is>
      </c>
      <c r="C40" s="85">
        <f>VLOOKUP($B40, 'پایگاه داده حد انتظار'!$A$2:$H$33, 2, FALSE)</f>
        <v/>
      </c>
      <c r="D40" s="48">
        <f>VLOOKUP($B40, 'پایگاه داده حد انتظار'!$A$2:$H$33, 3, FALSE)</f>
        <v/>
      </c>
      <c r="E40" s="48">
        <f>IFERROR(VLOOKUP($B40, 'گزارش عملکرد ماهانه'!$A$2:$F$33, 2, FALSE), 0)</f>
        <v/>
      </c>
      <c r="F40" s="49">
        <f>IFERROR(E40/D40, 0)</f>
        <v/>
      </c>
      <c r="G40" s="48">
        <f>VLOOKUP($B40, 'پایگاه داده حد انتظار'!$A$2:$H$33, 4, FALSE)</f>
        <v/>
      </c>
      <c r="H40" s="48">
        <f>IFERROR(VLOOKUP($B40, 'گزارش عملکرد ماهانه'!$A$2:$F$33, 3, FALSE), 0)</f>
        <v/>
      </c>
      <c r="I40" s="49">
        <f>IFERROR(H40/G40, 0)</f>
        <v/>
      </c>
      <c r="J40" s="48">
        <f>VLOOKUP($B40, 'پایگاه داده حد انتظار'!$A$2:$H$33, 5, FALSE)</f>
        <v/>
      </c>
      <c r="K40" s="48">
        <f>IFERROR(VLOOKUP($B40, 'گزارش عملکرد ماهانه'!$A$2:$F$33, 4, FALSE), 0)</f>
        <v/>
      </c>
      <c r="L40" s="49">
        <f>IFERROR(K40/J40, 0)</f>
        <v/>
      </c>
      <c r="M40" s="48">
        <f>VLOOKUP($B40, 'پایگاه داده حد انتظار'!$A$2:$H$33, 6, FALSE)</f>
        <v/>
      </c>
      <c r="N40" s="48">
        <f>IFERROR(VLOOKUP($B40, 'گزارش عملکرد ماهانه'!$A$2:$F$33, 5, FALSE), 0)</f>
        <v/>
      </c>
      <c r="O40" s="49">
        <f>IFERROR(N40/M40, 0)</f>
        <v/>
      </c>
      <c r="P40" s="48">
        <f>VLOOKUP($B40, 'پایگاه داده حد انتظار'!$A$2:$H$33, 7, FALSE)</f>
        <v/>
      </c>
      <c r="Q40" s="48">
        <f>IFERROR(VLOOKUP($B40, 'گزارش عملکرد ماهانه'!$A$2:$F$33, 6, FALSE), 0)</f>
        <v/>
      </c>
      <c r="R40" s="49">
        <f>IFERROR(Q40/P40, 0)</f>
        <v/>
      </c>
      <c r="S40" s="48">
        <f>VLOOKUP($B40, 'پایگاه داده حد انتظار'!$A$2:$H$33, 8, FALSE)</f>
        <v/>
      </c>
      <c r="T40" s="86">
        <f>ROUND(70 + 30 * (MIN(0.4, 0.1*F40 + 0.3*I40) + MIN(0.5, 0.5*L40 + MAX(0, 0.1*F40 + 0.3*I40 - 0.4)) + MIN(0.1, 0.1*O40)), 1)</f>
        <v/>
      </c>
      <c r="U40" s="62">
        <f>IF(T40&gt;70, RANK(T40, $T$31:$T$62), "-")</f>
        <v/>
      </c>
      <c r="V40" s="64">
        <f>IF(T40&lt;=70, "ضعیف", IF(T40&gt;=90, "عالی", "متوسط"))</f>
        <v/>
      </c>
      <c r="W40" s="64">
        <f>IF((E40+H40+K40+N40+Q40)&gt;0, "ثبت شده", "فاقد گزارش")</f>
        <v/>
      </c>
    </row>
    <row r="41" ht="20.5" customHeight="1" s="12">
      <c r="A41" s="60" t="n">
        <v>11</v>
      </c>
      <c r="B41" s="81" t="inlineStr">
        <is>
          <t>چادگان</t>
        </is>
      </c>
      <c r="C41" s="82">
        <f>VLOOKUP($B41, 'پایگاه داده حد انتظار'!$A$2:$H$33, 2, FALSE)</f>
        <v/>
      </c>
      <c r="D41" s="44">
        <f>VLOOKUP($B41, 'پایگاه داده حد انتظار'!$A$2:$H$33, 3, FALSE)</f>
        <v/>
      </c>
      <c r="E41" s="44">
        <f>IFERROR(VLOOKUP($B41, 'گزارش عملکرد ماهانه'!$A$2:$F$33, 2, FALSE), 0)</f>
        <v/>
      </c>
      <c r="F41" s="45">
        <f>IFERROR(E41/D41, 0)</f>
        <v/>
      </c>
      <c r="G41" s="44">
        <f>VLOOKUP($B41, 'پایگاه داده حد انتظار'!$A$2:$H$33, 4, FALSE)</f>
        <v/>
      </c>
      <c r="H41" s="44">
        <f>IFERROR(VLOOKUP($B41, 'گزارش عملکرد ماهانه'!$A$2:$F$33, 3, FALSE), 0)</f>
        <v/>
      </c>
      <c r="I41" s="45">
        <f>IFERROR(H41/G41, 0)</f>
        <v/>
      </c>
      <c r="J41" s="44">
        <f>VLOOKUP($B41, 'پایگاه داده حد انتظار'!$A$2:$H$33, 5, FALSE)</f>
        <v/>
      </c>
      <c r="K41" s="44">
        <f>IFERROR(VLOOKUP($B41, 'گزارش عملکرد ماهانه'!$A$2:$F$33, 4, FALSE), 0)</f>
        <v/>
      </c>
      <c r="L41" s="45">
        <f>IFERROR(K41/J41, 0)</f>
        <v/>
      </c>
      <c r="M41" s="44">
        <f>VLOOKUP($B41, 'پایگاه داده حد انتظار'!$A$2:$H$33, 6, FALSE)</f>
        <v/>
      </c>
      <c r="N41" s="44">
        <f>IFERROR(VLOOKUP($B41, 'گزارش عملکرد ماهانه'!$A$2:$F$33, 5, FALSE), 0)</f>
        <v/>
      </c>
      <c r="O41" s="45">
        <f>IFERROR(N41/M41, 0)</f>
        <v/>
      </c>
      <c r="P41" s="44">
        <f>VLOOKUP($B41, 'پایگاه داده حد انتظار'!$A$2:$H$33, 7, FALSE)</f>
        <v/>
      </c>
      <c r="Q41" s="44">
        <f>IFERROR(VLOOKUP($B41, 'گزارش عملکرد ماهانه'!$A$2:$F$33, 6, FALSE), 0)</f>
        <v/>
      </c>
      <c r="R41" s="45">
        <f>IFERROR(Q41/P41, 0)</f>
        <v/>
      </c>
      <c r="S41" s="44">
        <f>VLOOKUP($B41, 'پایگاه داده حد انتظار'!$A$2:$H$33, 8, FALSE)</f>
        <v/>
      </c>
      <c r="T41" s="83">
        <f>ROUND(70 + 30 * (MIN(0.4, 0.1*F41 + 0.3*I41) + MIN(0.5, 0.5*L41 + MAX(0, 0.1*F41 + 0.3*I41 - 0.4)) + MIN(0.1, 0.1*O41)), 1)</f>
        <v/>
      </c>
      <c r="U41" s="58">
        <f>IF(T41&gt;70, RANK(T41, $T$31:$T$62), "-")</f>
        <v/>
      </c>
      <c r="V41" s="60">
        <f>IF(T41&lt;=70, "ضعیف", IF(T41&gt;=90, "عالی", "متوسط"))</f>
        <v/>
      </c>
      <c r="W41" s="60">
        <f>IF((E41+H41+K41+N41+Q41)&gt;0, "ثبت شده", "فاقد گزارش")</f>
        <v/>
      </c>
    </row>
    <row r="42" ht="20.5" customHeight="1" s="12">
      <c r="A42" s="64" t="n">
        <v>12</v>
      </c>
      <c r="B42" s="84" t="inlineStr">
        <is>
          <t>خمینی شهر</t>
        </is>
      </c>
      <c r="C42" s="85">
        <f>VLOOKUP($B42, 'پایگاه داده حد انتظار'!$A$2:$H$33, 2, FALSE)</f>
        <v/>
      </c>
      <c r="D42" s="48">
        <f>VLOOKUP($B42, 'پایگاه داده حد انتظار'!$A$2:$H$33, 3, FALSE)</f>
        <v/>
      </c>
      <c r="E42" s="48">
        <f>IFERROR(VLOOKUP($B42, 'گزارش عملکرد ماهانه'!$A$2:$F$33, 2, FALSE), 0)</f>
        <v/>
      </c>
      <c r="F42" s="49">
        <f>IFERROR(E42/D42, 0)</f>
        <v/>
      </c>
      <c r="G42" s="48">
        <f>VLOOKUP($B42, 'پایگاه داده حد انتظار'!$A$2:$H$33, 4, FALSE)</f>
        <v/>
      </c>
      <c r="H42" s="48">
        <f>IFERROR(VLOOKUP($B42, 'گزارش عملکرد ماهانه'!$A$2:$F$33, 3, FALSE), 0)</f>
        <v/>
      </c>
      <c r="I42" s="49">
        <f>IFERROR(H42/G42, 0)</f>
        <v/>
      </c>
      <c r="J42" s="48">
        <f>VLOOKUP($B42, 'پایگاه داده حد انتظار'!$A$2:$H$33, 5, FALSE)</f>
        <v/>
      </c>
      <c r="K42" s="48">
        <f>IFERROR(VLOOKUP($B42, 'گزارش عملکرد ماهانه'!$A$2:$F$33, 4, FALSE), 0)</f>
        <v/>
      </c>
      <c r="L42" s="49">
        <f>IFERROR(K42/J42, 0)</f>
        <v/>
      </c>
      <c r="M42" s="48">
        <f>VLOOKUP($B42, 'پایگاه داده حد انتظار'!$A$2:$H$33, 6, FALSE)</f>
        <v/>
      </c>
      <c r="N42" s="48">
        <f>IFERROR(VLOOKUP($B42, 'گزارش عملکرد ماهانه'!$A$2:$F$33, 5, FALSE), 0)</f>
        <v/>
      </c>
      <c r="O42" s="49">
        <f>IFERROR(N42/M42, 0)</f>
        <v/>
      </c>
      <c r="P42" s="48">
        <f>VLOOKUP($B42, 'پایگاه داده حد انتظار'!$A$2:$H$33, 7, FALSE)</f>
        <v/>
      </c>
      <c r="Q42" s="48">
        <f>IFERROR(VLOOKUP($B42, 'گزارش عملکرد ماهانه'!$A$2:$F$33, 6, FALSE), 0)</f>
        <v/>
      </c>
      <c r="R42" s="49">
        <f>IFERROR(Q42/P42, 0)</f>
        <v/>
      </c>
      <c r="S42" s="48">
        <f>VLOOKUP($B42, 'پایگاه داده حد انتظار'!$A$2:$H$33, 8, FALSE)</f>
        <v/>
      </c>
      <c r="T42" s="86">
        <f>ROUND(70 + 30 * (MIN(0.4, 0.1*F42 + 0.3*I42) + MIN(0.5, 0.5*L42 + MAX(0, 0.1*F42 + 0.3*I42 - 0.4)) + MIN(0.1, 0.1*O42)), 1)</f>
        <v/>
      </c>
      <c r="U42" s="62">
        <f>IF(T42&gt;70, RANK(T42, $T$31:$T$62), "-")</f>
        <v/>
      </c>
      <c r="V42" s="64">
        <f>IF(T42&lt;=70, "ضعیف", IF(T42&gt;=90, "عالی", "متوسط"))</f>
        <v/>
      </c>
      <c r="W42" s="64">
        <f>IF((E42+H42+K42+N42+Q42)&gt;0, "ثبت شده", "فاقد گزارش")</f>
        <v/>
      </c>
    </row>
    <row r="43" ht="20.5" customHeight="1" s="12">
      <c r="A43" s="60" t="n">
        <v>13</v>
      </c>
      <c r="B43" s="81" t="inlineStr">
        <is>
          <t>خوانسار</t>
        </is>
      </c>
      <c r="C43" s="82">
        <f>VLOOKUP($B43, 'پایگاه داده حد انتظار'!$A$2:$H$33, 2, FALSE)</f>
        <v/>
      </c>
      <c r="D43" s="44">
        <f>VLOOKUP($B43, 'پایگاه داده حد انتظار'!$A$2:$H$33, 3, FALSE)</f>
        <v/>
      </c>
      <c r="E43" s="44">
        <f>IFERROR(VLOOKUP($B43, 'گزارش عملکرد ماهانه'!$A$2:$F$33, 2, FALSE), 0)</f>
        <v/>
      </c>
      <c r="F43" s="45">
        <f>IFERROR(E43/D43, 0)</f>
        <v/>
      </c>
      <c r="G43" s="44">
        <f>VLOOKUP($B43, 'پایگاه داده حد انتظار'!$A$2:$H$33, 4, FALSE)</f>
        <v/>
      </c>
      <c r="H43" s="44">
        <f>IFERROR(VLOOKUP($B43, 'گزارش عملکرد ماهانه'!$A$2:$F$33, 3, FALSE), 0)</f>
        <v/>
      </c>
      <c r="I43" s="45">
        <f>IFERROR(H43/G43, 0)</f>
        <v/>
      </c>
      <c r="J43" s="44">
        <f>VLOOKUP($B43, 'پایگاه داده حد انتظار'!$A$2:$H$33, 5, FALSE)</f>
        <v/>
      </c>
      <c r="K43" s="44">
        <f>IFERROR(VLOOKUP($B43, 'گزارش عملکرد ماهانه'!$A$2:$F$33, 4, FALSE), 0)</f>
        <v/>
      </c>
      <c r="L43" s="45">
        <f>IFERROR(K43/J43, 0)</f>
        <v/>
      </c>
      <c r="M43" s="44">
        <f>VLOOKUP($B43, 'پایگاه داده حد انتظار'!$A$2:$H$33, 6, FALSE)</f>
        <v/>
      </c>
      <c r="N43" s="44">
        <f>IFERROR(VLOOKUP($B43, 'گزارش عملکرد ماهانه'!$A$2:$F$33, 5, FALSE), 0)</f>
        <v/>
      </c>
      <c r="O43" s="45">
        <f>IFERROR(N43/M43, 0)</f>
        <v/>
      </c>
      <c r="P43" s="44">
        <f>VLOOKUP($B43, 'پایگاه داده حد انتظار'!$A$2:$H$33, 7, FALSE)</f>
        <v/>
      </c>
      <c r="Q43" s="44">
        <f>IFERROR(VLOOKUP($B43, 'گزارش عملکرد ماهانه'!$A$2:$F$33, 6, FALSE), 0)</f>
        <v/>
      </c>
      <c r="R43" s="45">
        <f>IFERROR(Q43/P43, 0)</f>
        <v/>
      </c>
      <c r="S43" s="44">
        <f>VLOOKUP($B43, 'پایگاه داده حد انتظار'!$A$2:$H$33, 8, FALSE)</f>
        <v/>
      </c>
      <c r="T43" s="83">
        <f>ROUND(70 + 30 * (MIN(0.4, 0.1*F43 + 0.3*I43) + MIN(0.5, 0.5*L43 + MAX(0, 0.1*F43 + 0.3*I43 - 0.4)) + MIN(0.1, 0.1*O43)), 1)</f>
        <v/>
      </c>
      <c r="U43" s="58">
        <f>IF(T43&gt;70, RANK(T43, $T$31:$T$62), "-")</f>
        <v/>
      </c>
      <c r="V43" s="60">
        <f>IF(T43&lt;=70, "ضعیف", IF(T43&gt;=90, "عالی", "متوسط"))</f>
        <v/>
      </c>
      <c r="W43" s="60">
        <f>IF((E43+H43+K43+N43+Q43)&gt;0, "ثبت شده", "فاقد گزارش")</f>
        <v/>
      </c>
    </row>
    <row r="44" ht="20.5" customHeight="1" s="12">
      <c r="A44" s="64" t="n">
        <v>14</v>
      </c>
      <c r="B44" s="84" t="inlineStr">
        <is>
          <t>خور و بیابانک</t>
        </is>
      </c>
      <c r="C44" s="85">
        <f>VLOOKUP($B44, 'پایگاه داده حد انتظار'!$A$2:$H$33, 2, FALSE)</f>
        <v/>
      </c>
      <c r="D44" s="48">
        <f>VLOOKUP($B44, 'پایگاه داده حد انتظار'!$A$2:$H$33, 3, FALSE)</f>
        <v/>
      </c>
      <c r="E44" s="48">
        <f>IFERROR(VLOOKUP($B44, 'گزارش عملکرد ماهانه'!$A$2:$F$33, 2, FALSE), 0)</f>
        <v/>
      </c>
      <c r="F44" s="49">
        <f>IFERROR(E44/D44, 0)</f>
        <v/>
      </c>
      <c r="G44" s="48">
        <f>VLOOKUP($B44, 'پایگاه داده حد انتظار'!$A$2:$H$33, 4, FALSE)</f>
        <v/>
      </c>
      <c r="H44" s="48">
        <f>IFERROR(VLOOKUP($B44, 'گزارش عملکرد ماهانه'!$A$2:$F$33, 3, FALSE), 0)</f>
        <v/>
      </c>
      <c r="I44" s="49">
        <f>IFERROR(H44/G44, 0)</f>
        <v/>
      </c>
      <c r="J44" s="48">
        <f>VLOOKUP($B44, 'پایگاه داده حد انتظار'!$A$2:$H$33, 5, FALSE)</f>
        <v/>
      </c>
      <c r="K44" s="48">
        <f>IFERROR(VLOOKUP($B44, 'گزارش عملکرد ماهانه'!$A$2:$F$33, 4, FALSE), 0)</f>
        <v/>
      </c>
      <c r="L44" s="49">
        <f>IFERROR(K44/J44, 0)</f>
        <v/>
      </c>
      <c r="M44" s="48">
        <f>VLOOKUP($B44, 'پایگاه داده حد انتظار'!$A$2:$H$33, 6, FALSE)</f>
        <v/>
      </c>
      <c r="N44" s="48">
        <f>IFERROR(VLOOKUP($B44, 'گزارش عملکرد ماهانه'!$A$2:$F$33, 5, FALSE), 0)</f>
        <v/>
      </c>
      <c r="O44" s="49">
        <f>IFERROR(N44/M44, 0)</f>
        <v/>
      </c>
      <c r="P44" s="48">
        <f>VLOOKUP($B44, 'پایگاه داده حد انتظار'!$A$2:$H$33, 7, FALSE)</f>
        <v/>
      </c>
      <c r="Q44" s="48">
        <f>IFERROR(VLOOKUP($B44, 'گزارش عملکرد ماهانه'!$A$2:$F$33, 6, FALSE), 0)</f>
        <v/>
      </c>
      <c r="R44" s="49">
        <f>IFERROR(Q44/P44, 0)</f>
        <v/>
      </c>
      <c r="S44" s="48">
        <f>VLOOKUP($B44, 'پایگاه داده حد انتظار'!$A$2:$H$33, 8, FALSE)</f>
        <v/>
      </c>
      <c r="T44" s="86">
        <f>ROUND(70 + 30 * (MIN(0.4, 0.1*F44 + 0.3*I44) + MIN(0.5, 0.5*L44 + MAX(0, 0.1*F44 + 0.3*I44 - 0.4)) + MIN(0.1, 0.1*O44)), 1)</f>
        <v/>
      </c>
      <c r="U44" s="62">
        <f>IF(T44&gt;70, RANK(T44, $T$31:$T$62), "-")</f>
        <v/>
      </c>
      <c r="V44" s="64">
        <f>IF(T44&lt;=70, "ضعیف", IF(T44&gt;=90, "عالی", "متوسط"))</f>
        <v/>
      </c>
      <c r="W44" s="64">
        <f>IF((E44+H44+K44+N44+Q44)&gt;0, "ثبت شده", "فاقد گزارش")</f>
        <v/>
      </c>
    </row>
    <row r="45" ht="20.5" customHeight="1" s="12">
      <c r="A45" s="60" t="n">
        <v>15</v>
      </c>
      <c r="B45" s="81" t="inlineStr">
        <is>
          <t>درچه</t>
        </is>
      </c>
      <c r="C45" s="82">
        <f>VLOOKUP($B45, 'پایگاه داده حد انتظار'!$A$2:$H$33, 2, FALSE)</f>
        <v/>
      </c>
      <c r="D45" s="44">
        <f>VLOOKUP($B45, 'پایگاه داده حد انتظار'!$A$2:$H$33, 3, FALSE)</f>
        <v/>
      </c>
      <c r="E45" s="44">
        <f>IFERROR(VLOOKUP($B45, 'گزارش عملکرد ماهانه'!$A$2:$F$33, 2, FALSE), 0)</f>
        <v/>
      </c>
      <c r="F45" s="45">
        <f>IFERROR(E45/D45, 0)</f>
        <v/>
      </c>
      <c r="G45" s="44">
        <f>VLOOKUP($B45, 'پایگاه داده حد انتظار'!$A$2:$H$33, 4, FALSE)</f>
        <v/>
      </c>
      <c r="H45" s="44">
        <f>IFERROR(VLOOKUP($B45, 'گزارش عملکرد ماهانه'!$A$2:$F$33, 3, FALSE), 0)</f>
        <v/>
      </c>
      <c r="I45" s="45">
        <f>IFERROR(H45/G45, 0)</f>
        <v/>
      </c>
      <c r="J45" s="44">
        <f>VLOOKUP($B45, 'پایگاه داده حد انتظار'!$A$2:$H$33, 5, FALSE)</f>
        <v/>
      </c>
      <c r="K45" s="44">
        <f>IFERROR(VLOOKUP($B45, 'گزارش عملکرد ماهانه'!$A$2:$F$33, 4, FALSE), 0)</f>
        <v/>
      </c>
      <c r="L45" s="45">
        <f>IFERROR(K45/J45, 0)</f>
        <v/>
      </c>
      <c r="M45" s="44">
        <f>VLOOKUP($B45, 'پایگاه داده حد انتظار'!$A$2:$H$33, 6, FALSE)</f>
        <v/>
      </c>
      <c r="N45" s="44">
        <f>IFERROR(VLOOKUP($B45, 'گزارش عملکرد ماهانه'!$A$2:$F$33, 5, FALSE), 0)</f>
        <v/>
      </c>
      <c r="O45" s="45">
        <f>IFERROR(N45/M45, 0)</f>
        <v/>
      </c>
      <c r="P45" s="44">
        <f>VLOOKUP($B45, 'پایگاه داده حد انتظار'!$A$2:$H$33, 7, FALSE)</f>
        <v/>
      </c>
      <c r="Q45" s="44">
        <f>IFERROR(VLOOKUP($B45, 'گزارش عملکرد ماهانه'!$A$2:$F$33, 6, FALSE), 0)</f>
        <v/>
      </c>
      <c r="R45" s="45">
        <f>IFERROR(Q45/P45, 0)</f>
        <v/>
      </c>
      <c r="S45" s="44">
        <f>VLOOKUP($B45, 'پایگاه داده حد انتظار'!$A$2:$H$33, 8, FALSE)</f>
        <v/>
      </c>
      <c r="T45" s="83">
        <f>ROUND(70 + 30 * (MIN(0.4, 0.1*F45 + 0.3*I45) + MIN(0.5, 0.5*L45 + MAX(0, 0.1*F45 + 0.3*I45 - 0.4)) + MIN(0.1, 0.1*O45)), 1)</f>
        <v/>
      </c>
      <c r="U45" s="58">
        <f>IF(T45&gt;70, RANK(T45, $T$31:$T$62), "-")</f>
        <v/>
      </c>
      <c r="V45" s="60">
        <f>IF(T45&lt;=70, "ضعیف", IF(T45&gt;=90, "عالی", "متوسط"))</f>
        <v/>
      </c>
      <c r="W45" s="60">
        <f>IF((E45+H45+K45+N45+Q45)&gt;0, "ثبت شده", "فاقد گزارش")</f>
        <v/>
      </c>
    </row>
    <row r="46" ht="20.5" customHeight="1" s="12">
      <c r="A46" s="64" t="n">
        <v>16</v>
      </c>
      <c r="B46" s="84" t="inlineStr">
        <is>
          <t>دهاقان</t>
        </is>
      </c>
      <c r="C46" s="85">
        <f>VLOOKUP($B46, 'پایگاه داده حد انتظار'!$A$2:$H$33, 2, FALSE)</f>
        <v/>
      </c>
      <c r="D46" s="48">
        <f>VLOOKUP($B46, 'پایگاه داده حد انتظار'!$A$2:$H$33, 3, FALSE)</f>
        <v/>
      </c>
      <c r="E46" s="48">
        <f>IFERROR(VLOOKUP($B46, 'گزارش عملکرد ماهانه'!$A$2:$F$33, 2, FALSE), 0)</f>
        <v/>
      </c>
      <c r="F46" s="49">
        <f>IFERROR(E46/D46, 0)</f>
        <v/>
      </c>
      <c r="G46" s="48">
        <f>VLOOKUP($B46, 'پایگاه داده حد انتظار'!$A$2:$H$33, 4, FALSE)</f>
        <v/>
      </c>
      <c r="H46" s="48">
        <f>IFERROR(VLOOKUP($B46, 'گزارش عملکرد ماهانه'!$A$2:$F$33, 3, FALSE), 0)</f>
        <v/>
      </c>
      <c r="I46" s="49">
        <f>IFERROR(H46/G46, 0)</f>
        <v/>
      </c>
      <c r="J46" s="48">
        <f>VLOOKUP($B46, 'پایگاه داده حد انتظار'!$A$2:$H$33, 5, FALSE)</f>
        <v/>
      </c>
      <c r="K46" s="48">
        <f>IFERROR(VLOOKUP($B46, 'گزارش عملکرد ماهانه'!$A$2:$F$33, 4, FALSE), 0)</f>
        <v/>
      </c>
      <c r="L46" s="49">
        <f>IFERROR(K46/J46, 0)</f>
        <v/>
      </c>
      <c r="M46" s="48">
        <f>VLOOKUP($B46, 'پایگاه داده حد انتظار'!$A$2:$H$33, 6, FALSE)</f>
        <v/>
      </c>
      <c r="N46" s="48">
        <f>IFERROR(VLOOKUP($B46, 'گزارش عملکرد ماهانه'!$A$2:$F$33, 5, FALSE), 0)</f>
        <v/>
      </c>
      <c r="O46" s="49">
        <f>IFERROR(N46/M46, 0)</f>
        <v/>
      </c>
      <c r="P46" s="48">
        <f>VLOOKUP($B46, 'پایگاه داده حد انتظار'!$A$2:$H$33, 7, FALSE)</f>
        <v/>
      </c>
      <c r="Q46" s="48">
        <f>IFERROR(VLOOKUP($B46, 'گزارش عملکرد ماهانه'!$A$2:$F$33, 6, FALSE), 0)</f>
        <v/>
      </c>
      <c r="R46" s="49">
        <f>IFERROR(Q46/P46, 0)</f>
        <v/>
      </c>
      <c r="S46" s="48">
        <f>VLOOKUP($B46, 'پایگاه داده حد انتظار'!$A$2:$H$33, 8, FALSE)</f>
        <v/>
      </c>
      <c r="T46" s="86">
        <f>ROUND(70 + 30 * (MIN(0.4, 0.1*F46 + 0.3*I46) + MIN(0.5, 0.5*L46 + MAX(0, 0.1*F46 + 0.3*I46 - 0.4)) + MIN(0.1, 0.1*O46)), 1)</f>
        <v/>
      </c>
      <c r="U46" s="62">
        <f>IF(T46&gt;70, RANK(T46, $T$31:$T$62), "-")</f>
        <v/>
      </c>
      <c r="V46" s="64">
        <f>IF(T46&lt;=70, "ضعیف", IF(T46&gt;=90, "عالی", "متوسط"))</f>
        <v/>
      </c>
      <c r="W46" s="64">
        <f>IF((E46+H46+K46+N46+Q46)&gt;0, "ثبت شده", "فاقد گزارش")</f>
        <v/>
      </c>
    </row>
    <row r="47" ht="20.5" customHeight="1" s="12">
      <c r="A47" s="60" t="n">
        <v>17</v>
      </c>
      <c r="B47" s="81" t="inlineStr">
        <is>
          <t>سمیرم</t>
        </is>
      </c>
      <c r="C47" s="82">
        <f>VLOOKUP($B47, 'پایگاه داده حد انتظار'!$A$2:$H$33, 2, FALSE)</f>
        <v/>
      </c>
      <c r="D47" s="44">
        <f>VLOOKUP($B47, 'پایگاه داده حد انتظار'!$A$2:$H$33, 3, FALSE)</f>
        <v/>
      </c>
      <c r="E47" s="44">
        <f>IFERROR(VLOOKUP($B47, 'گزارش عملکرد ماهانه'!$A$2:$F$33, 2, FALSE), 0)</f>
        <v/>
      </c>
      <c r="F47" s="45">
        <f>IFERROR(E47/D47, 0)</f>
        <v/>
      </c>
      <c r="G47" s="44">
        <f>VLOOKUP($B47, 'پایگاه داده حد انتظار'!$A$2:$H$33, 4, FALSE)</f>
        <v/>
      </c>
      <c r="H47" s="44">
        <f>IFERROR(VLOOKUP($B47, 'گزارش عملکرد ماهانه'!$A$2:$F$33, 3, FALSE), 0)</f>
        <v/>
      </c>
      <c r="I47" s="45">
        <f>IFERROR(H47/G47, 0)</f>
        <v/>
      </c>
      <c r="J47" s="44">
        <f>VLOOKUP($B47, 'پایگاه داده حد انتظار'!$A$2:$H$33, 5, FALSE)</f>
        <v/>
      </c>
      <c r="K47" s="44">
        <f>IFERROR(VLOOKUP($B47, 'گزارش عملکرد ماهانه'!$A$2:$F$33, 4, FALSE), 0)</f>
        <v/>
      </c>
      <c r="L47" s="45">
        <f>IFERROR(K47/J47, 0)</f>
        <v/>
      </c>
      <c r="M47" s="44">
        <f>VLOOKUP($B47, 'پایگاه داده حد انتظار'!$A$2:$H$33, 6, FALSE)</f>
        <v/>
      </c>
      <c r="N47" s="44">
        <f>IFERROR(VLOOKUP($B47, 'گزارش عملکرد ماهانه'!$A$2:$F$33, 5, FALSE), 0)</f>
        <v/>
      </c>
      <c r="O47" s="45">
        <f>IFERROR(N47/M47, 0)</f>
        <v/>
      </c>
      <c r="P47" s="44">
        <f>VLOOKUP($B47, 'پایگاه داده حد انتظار'!$A$2:$H$33, 7, FALSE)</f>
        <v/>
      </c>
      <c r="Q47" s="44">
        <f>IFERROR(VLOOKUP($B47, 'گزارش عملکرد ماهانه'!$A$2:$F$33, 6, FALSE), 0)</f>
        <v/>
      </c>
      <c r="R47" s="45">
        <f>IFERROR(Q47/P47, 0)</f>
        <v/>
      </c>
      <c r="S47" s="44">
        <f>VLOOKUP($B47, 'پایگاه داده حد انتظار'!$A$2:$H$33, 8, FALSE)</f>
        <v/>
      </c>
      <c r="T47" s="83">
        <f>ROUND(70 + 30 * (MIN(0.4, 0.1*F47 + 0.3*I47) + MIN(0.5, 0.5*L47 + MAX(0, 0.1*F47 + 0.3*I47 - 0.4)) + MIN(0.1, 0.1*O47)), 1)</f>
        <v/>
      </c>
      <c r="U47" s="58">
        <f>IF(T47&gt;70, RANK(T47, $T$31:$T$62), "-")</f>
        <v/>
      </c>
      <c r="V47" s="60">
        <f>IF(T47&lt;=70, "ضعیف", IF(T47&gt;=90, "عالی", "متوسط"))</f>
        <v/>
      </c>
      <c r="W47" s="60">
        <f>IF((E47+H47+K47+N47+Q47)&gt;0, "ثبت شده", "فاقد گزارش")</f>
        <v/>
      </c>
    </row>
    <row r="48" ht="20.5" customHeight="1" s="12">
      <c r="A48" s="64" t="n">
        <v>18</v>
      </c>
      <c r="B48" s="84" t="inlineStr">
        <is>
          <t>شاهین شهر</t>
        </is>
      </c>
      <c r="C48" s="85">
        <f>VLOOKUP($B48, 'پایگاه داده حد انتظار'!$A$2:$H$33, 2, FALSE)</f>
        <v/>
      </c>
      <c r="D48" s="48">
        <f>VLOOKUP($B48, 'پایگاه داده حد انتظار'!$A$2:$H$33, 3, FALSE)</f>
        <v/>
      </c>
      <c r="E48" s="48">
        <f>IFERROR(VLOOKUP($B48, 'گزارش عملکرد ماهانه'!$A$2:$F$33, 2, FALSE), 0)</f>
        <v/>
      </c>
      <c r="F48" s="49">
        <f>IFERROR(E48/D48, 0)</f>
        <v/>
      </c>
      <c r="G48" s="48">
        <f>VLOOKUP($B48, 'پایگاه داده حد انتظار'!$A$2:$H$33, 4, FALSE)</f>
        <v/>
      </c>
      <c r="H48" s="48">
        <f>IFERROR(VLOOKUP($B48, 'گزارش عملکرد ماهانه'!$A$2:$F$33, 3, FALSE), 0)</f>
        <v/>
      </c>
      <c r="I48" s="49">
        <f>IFERROR(H48/G48, 0)</f>
        <v/>
      </c>
      <c r="J48" s="48">
        <f>VLOOKUP($B48, 'پایگاه داده حد انتظار'!$A$2:$H$33, 5, FALSE)</f>
        <v/>
      </c>
      <c r="K48" s="48">
        <f>IFERROR(VLOOKUP($B48, 'گزارش عملکرد ماهانه'!$A$2:$F$33, 4, FALSE), 0)</f>
        <v/>
      </c>
      <c r="L48" s="49">
        <f>IFERROR(K48/J48, 0)</f>
        <v/>
      </c>
      <c r="M48" s="48">
        <f>VLOOKUP($B48, 'پایگاه داده حد انتظار'!$A$2:$H$33, 6, FALSE)</f>
        <v/>
      </c>
      <c r="N48" s="48">
        <f>IFERROR(VLOOKUP($B48, 'گزارش عملکرد ماهانه'!$A$2:$F$33, 5, FALSE), 0)</f>
        <v/>
      </c>
      <c r="O48" s="49">
        <f>IFERROR(N48/M48, 0)</f>
        <v/>
      </c>
      <c r="P48" s="48">
        <f>VLOOKUP($B48, 'پایگاه داده حد انتظار'!$A$2:$H$33, 7, FALSE)</f>
        <v/>
      </c>
      <c r="Q48" s="48">
        <f>IFERROR(VLOOKUP($B48, 'گزارش عملکرد ماهانه'!$A$2:$F$33, 6, FALSE), 0)</f>
        <v/>
      </c>
      <c r="R48" s="49">
        <f>IFERROR(Q48/P48, 0)</f>
        <v/>
      </c>
      <c r="S48" s="48">
        <f>VLOOKUP($B48, 'پایگاه داده حد انتظار'!$A$2:$H$33, 8, FALSE)</f>
        <v/>
      </c>
      <c r="T48" s="86">
        <f>ROUND(70 + 30 * (MIN(0.4, 0.1*F48 + 0.3*I48) + MIN(0.5, 0.5*L48 + MAX(0, 0.1*F48 + 0.3*I48 - 0.4)) + MIN(0.1, 0.1*O48)), 1)</f>
        <v/>
      </c>
      <c r="U48" s="62">
        <f>IF(T48&gt;70, RANK(T48, $T$31:$T$62), "-")</f>
        <v/>
      </c>
      <c r="V48" s="64">
        <f>IF(T48&lt;=70, "ضعیف", IF(T48&gt;=90, "عالی", "متوسط"))</f>
        <v/>
      </c>
      <c r="W48" s="64">
        <f>IF((E48+H48+K48+N48+Q48)&gt;0, "ثبت شده", "فاقد گزارش")</f>
        <v/>
      </c>
    </row>
    <row r="49" ht="20.5" customHeight="1" s="12">
      <c r="A49" s="60" t="n">
        <v>19</v>
      </c>
      <c r="B49" s="81" t="inlineStr">
        <is>
          <t>شهرضا</t>
        </is>
      </c>
      <c r="C49" s="82">
        <f>VLOOKUP($B49, 'پایگاه داده حد انتظار'!$A$2:$H$33, 2, FALSE)</f>
        <v/>
      </c>
      <c r="D49" s="44">
        <f>VLOOKUP($B49, 'پایگاه داده حد انتظار'!$A$2:$H$33, 3, FALSE)</f>
        <v/>
      </c>
      <c r="E49" s="44">
        <f>IFERROR(VLOOKUP($B49, 'گزارش عملکرد ماهانه'!$A$2:$F$33, 2, FALSE), 0)</f>
        <v/>
      </c>
      <c r="F49" s="45">
        <f>IFERROR(E49/D49, 0)</f>
        <v/>
      </c>
      <c r="G49" s="44">
        <f>VLOOKUP($B49, 'پایگاه داده حد انتظار'!$A$2:$H$33, 4, FALSE)</f>
        <v/>
      </c>
      <c r="H49" s="44">
        <f>IFERROR(VLOOKUP($B49, 'گزارش عملکرد ماهانه'!$A$2:$F$33, 3, FALSE), 0)</f>
        <v/>
      </c>
      <c r="I49" s="45">
        <f>IFERROR(H49/G49, 0)</f>
        <v/>
      </c>
      <c r="J49" s="44">
        <f>VLOOKUP($B49, 'پایگاه داده حد انتظار'!$A$2:$H$33, 5, FALSE)</f>
        <v/>
      </c>
      <c r="K49" s="44">
        <f>IFERROR(VLOOKUP($B49, 'گزارش عملکرد ماهانه'!$A$2:$F$33, 4, FALSE), 0)</f>
        <v/>
      </c>
      <c r="L49" s="45">
        <f>IFERROR(K49/J49, 0)</f>
        <v/>
      </c>
      <c r="M49" s="44">
        <f>VLOOKUP($B49, 'پایگاه داده حد انتظار'!$A$2:$H$33, 6, FALSE)</f>
        <v/>
      </c>
      <c r="N49" s="44">
        <f>IFERROR(VLOOKUP($B49, 'گزارش عملکرد ماهانه'!$A$2:$F$33, 5, FALSE), 0)</f>
        <v/>
      </c>
      <c r="O49" s="45">
        <f>IFERROR(N49/M49, 0)</f>
        <v/>
      </c>
      <c r="P49" s="44">
        <f>VLOOKUP($B49, 'پایگاه داده حد انتظار'!$A$2:$H$33, 7, FALSE)</f>
        <v/>
      </c>
      <c r="Q49" s="44">
        <f>IFERROR(VLOOKUP($B49, 'گزارش عملکرد ماهانه'!$A$2:$F$33, 6, FALSE), 0)</f>
        <v/>
      </c>
      <c r="R49" s="45">
        <f>IFERROR(Q49/P49, 0)</f>
        <v/>
      </c>
      <c r="S49" s="44">
        <f>VLOOKUP($B49, 'پایگاه داده حد انتظار'!$A$2:$H$33, 8, FALSE)</f>
        <v/>
      </c>
      <c r="T49" s="83">
        <f>ROUND(70 + 30 * (MIN(0.4, 0.1*F49 + 0.3*I49) + MIN(0.5, 0.5*L49 + MAX(0, 0.1*F49 + 0.3*I49 - 0.4)) + MIN(0.1, 0.1*O49)), 1)</f>
        <v/>
      </c>
      <c r="U49" s="58">
        <f>IF(T49&gt;70, RANK(T49, $T$31:$T$62), "-")</f>
        <v/>
      </c>
      <c r="V49" s="60">
        <f>IF(T49&lt;=70, "ضعیف", IF(T49&gt;=90, "عالی", "متوسط"))</f>
        <v/>
      </c>
      <c r="W49" s="60">
        <f>IF((E49+H49+K49+N49+Q49)&gt;0, "ثبت شده", "فاقد گزارش")</f>
        <v/>
      </c>
    </row>
    <row r="50" ht="20.5" customHeight="1" s="12">
      <c r="A50" s="64" t="n">
        <v>20</v>
      </c>
      <c r="B50" s="84" t="inlineStr">
        <is>
          <t>فریدن</t>
        </is>
      </c>
      <c r="C50" s="85">
        <f>VLOOKUP($B50, 'پایگاه داده حد انتظار'!$A$2:$H$33, 2, FALSE)</f>
        <v/>
      </c>
      <c r="D50" s="48">
        <f>VLOOKUP($B50, 'پایگاه داده حد انتظار'!$A$2:$H$33, 3, FALSE)</f>
        <v/>
      </c>
      <c r="E50" s="48">
        <f>IFERROR(VLOOKUP($B50, 'گزارش عملکرد ماهانه'!$A$2:$F$33, 2, FALSE), 0)</f>
        <v/>
      </c>
      <c r="F50" s="49">
        <f>IFERROR(E50/D50, 0)</f>
        <v/>
      </c>
      <c r="G50" s="48">
        <f>VLOOKUP($B50, 'پایگاه داده حد انتظار'!$A$2:$H$33, 4, FALSE)</f>
        <v/>
      </c>
      <c r="H50" s="48">
        <f>IFERROR(VLOOKUP($B50, 'گزارش عملکرد ماهانه'!$A$2:$F$33, 3, FALSE), 0)</f>
        <v/>
      </c>
      <c r="I50" s="49">
        <f>IFERROR(H50/G50, 0)</f>
        <v/>
      </c>
      <c r="J50" s="48">
        <f>VLOOKUP($B50, 'پایگاه داده حد انتظار'!$A$2:$H$33, 5, FALSE)</f>
        <v/>
      </c>
      <c r="K50" s="48">
        <f>IFERROR(VLOOKUP($B50, 'گزارش عملکرد ماهانه'!$A$2:$F$33, 4, FALSE), 0)</f>
        <v/>
      </c>
      <c r="L50" s="49">
        <f>IFERROR(K50/J50, 0)</f>
        <v/>
      </c>
      <c r="M50" s="48">
        <f>VLOOKUP($B50, 'پایگاه داده حد انتظار'!$A$2:$H$33, 6, FALSE)</f>
        <v/>
      </c>
      <c r="N50" s="48">
        <f>IFERROR(VLOOKUP($B50, 'گزارش عملکرد ماهانه'!$A$2:$F$33, 5, FALSE), 0)</f>
        <v/>
      </c>
      <c r="O50" s="49">
        <f>IFERROR(N50/M50, 0)</f>
        <v/>
      </c>
      <c r="P50" s="48">
        <f>VLOOKUP($B50, 'پایگاه داده حد انتظار'!$A$2:$H$33, 7, FALSE)</f>
        <v/>
      </c>
      <c r="Q50" s="48">
        <f>IFERROR(VLOOKUP($B50, 'گزارش عملکرد ماهانه'!$A$2:$F$33, 6, FALSE), 0)</f>
        <v/>
      </c>
      <c r="R50" s="49">
        <f>IFERROR(Q50/P50, 0)</f>
        <v/>
      </c>
      <c r="S50" s="48">
        <f>VLOOKUP($B50, 'پایگاه داده حد انتظار'!$A$2:$H$33, 8, FALSE)</f>
        <v/>
      </c>
      <c r="T50" s="86">
        <f>ROUND(70 + 30 * (MIN(0.4, 0.1*F50 + 0.3*I50) + MIN(0.5, 0.5*L50 + MAX(0, 0.1*F50 + 0.3*I50 - 0.4)) + MIN(0.1, 0.1*O50)), 1)</f>
        <v/>
      </c>
      <c r="U50" s="62">
        <f>IF(T50&gt;70, RANK(T50, $T$31:$T$62), "-")</f>
        <v/>
      </c>
      <c r="V50" s="64">
        <f>IF(T50&lt;=70, "ضعیف", IF(T50&gt;=90, "عالی", "متوسط"))</f>
        <v/>
      </c>
      <c r="W50" s="64">
        <f>IF((E50+H50+K50+N50+Q50)&gt;0, "ثبت شده", "فاقد گزارش")</f>
        <v/>
      </c>
    </row>
    <row r="51" ht="20.5" customHeight="1" s="12">
      <c r="A51" s="60" t="n">
        <v>21</v>
      </c>
      <c r="B51" s="81" t="inlineStr">
        <is>
          <t>فریدون شهر</t>
        </is>
      </c>
      <c r="C51" s="82">
        <f>VLOOKUP($B51, 'پایگاه داده حد انتظار'!$A$2:$H$33, 2, FALSE)</f>
        <v/>
      </c>
      <c r="D51" s="44">
        <f>VLOOKUP($B51, 'پایگاه داده حد انتظار'!$A$2:$H$33, 3, FALSE)</f>
        <v/>
      </c>
      <c r="E51" s="44">
        <f>IFERROR(VLOOKUP($B51, 'گزارش عملکرد ماهانه'!$A$2:$F$33, 2, FALSE), 0)</f>
        <v/>
      </c>
      <c r="F51" s="45">
        <f>IFERROR(E51/D51, 0)</f>
        <v/>
      </c>
      <c r="G51" s="44">
        <f>VLOOKUP($B51, 'پایگاه داده حد انتظار'!$A$2:$H$33, 4, FALSE)</f>
        <v/>
      </c>
      <c r="H51" s="44">
        <f>IFERROR(VLOOKUP($B51, 'گزارش عملکرد ماهانه'!$A$2:$F$33, 3, FALSE), 0)</f>
        <v/>
      </c>
      <c r="I51" s="45">
        <f>IFERROR(H51/G51, 0)</f>
        <v/>
      </c>
      <c r="J51" s="44">
        <f>VLOOKUP($B51, 'پایگاه داده حد انتظار'!$A$2:$H$33, 5, FALSE)</f>
        <v/>
      </c>
      <c r="K51" s="44">
        <f>IFERROR(VLOOKUP($B51, 'گزارش عملکرد ماهانه'!$A$2:$F$33, 4, FALSE), 0)</f>
        <v/>
      </c>
      <c r="L51" s="45">
        <f>IFERROR(K51/J51, 0)</f>
        <v/>
      </c>
      <c r="M51" s="44">
        <f>VLOOKUP($B51, 'پایگاه داده حد انتظار'!$A$2:$H$33, 6, FALSE)</f>
        <v/>
      </c>
      <c r="N51" s="44">
        <f>IFERROR(VLOOKUP($B51, 'گزارش عملکرد ماهانه'!$A$2:$F$33, 5, FALSE), 0)</f>
        <v/>
      </c>
      <c r="O51" s="45">
        <f>IFERROR(N51/M51, 0)</f>
        <v/>
      </c>
      <c r="P51" s="44">
        <f>VLOOKUP($B51, 'پایگاه داده حد انتظار'!$A$2:$H$33, 7, FALSE)</f>
        <v/>
      </c>
      <c r="Q51" s="44">
        <f>IFERROR(VLOOKUP($B51, 'گزارش عملکرد ماهانه'!$A$2:$F$33, 6, FALSE), 0)</f>
        <v/>
      </c>
      <c r="R51" s="45">
        <f>IFERROR(Q51/P51, 0)</f>
        <v/>
      </c>
      <c r="S51" s="44">
        <f>VLOOKUP($B51, 'پایگاه داده حد انتظار'!$A$2:$H$33, 8, FALSE)</f>
        <v/>
      </c>
      <c r="T51" s="83">
        <f>ROUND(70 + 30 * (MIN(0.4, 0.1*F51 + 0.3*I51) + MIN(0.5, 0.5*L51 + MAX(0, 0.1*F51 + 0.3*I51 - 0.4)) + MIN(0.1, 0.1*O51)), 1)</f>
        <v/>
      </c>
      <c r="U51" s="58">
        <f>IF(T51&gt;70, RANK(T51, $T$31:$T$62), "-")</f>
        <v/>
      </c>
      <c r="V51" s="60">
        <f>IF(T51&lt;=70, "ضعیف", IF(T51&gt;=90, "عالی", "متوسط"))</f>
        <v/>
      </c>
      <c r="W51" s="60">
        <f>IF((E51+H51+K51+N51+Q51)&gt;0, "ثبت شده", "فاقد گزارش")</f>
        <v/>
      </c>
    </row>
    <row r="52" ht="20.5" customHeight="1" s="12">
      <c r="A52" s="64" t="n">
        <v>22</v>
      </c>
      <c r="B52" s="84" t="inlineStr">
        <is>
          <t>فلاورجان</t>
        </is>
      </c>
      <c r="C52" s="85">
        <f>VLOOKUP($B52, 'پایگاه داده حد انتظار'!$A$2:$H$33, 2, FALSE)</f>
        <v/>
      </c>
      <c r="D52" s="48">
        <f>VLOOKUP($B52, 'پایگاه داده حد انتظار'!$A$2:$H$33, 3, FALSE)</f>
        <v/>
      </c>
      <c r="E52" s="48">
        <f>IFERROR(VLOOKUP($B52, 'گزارش عملکرد ماهانه'!$A$2:$F$33, 2, FALSE), 0)</f>
        <v/>
      </c>
      <c r="F52" s="49">
        <f>IFERROR(E52/D52, 0)</f>
        <v/>
      </c>
      <c r="G52" s="48">
        <f>VLOOKUP($B52, 'پایگاه داده حد انتظار'!$A$2:$H$33, 4, FALSE)</f>
        <v/>
      </c>
      <c r="H52" s="48">
        <f>IFERROR(VLOOKUP($B52, 'گزارش عملکرد ماهانه'!$A$2:$F$33, 3, FALSE), 0)</f>
        <v/>
      </c>
      <c r="I52" s="49">
        <f>IFERROR(H52/G52, 0)</f>
        <v/>
      </c>
      <c r="J52" s="48">
        <f>VLOOKUP($B52, 'پایگاه داده حد انتظار'!$A$2:$H$33, 5, FALSE)</f>
        <v/>
      </c>
      <c r="K52" s="48">
        <f>IFERROR(VLOOKUP($B52, 'گزارش عملکرد ماهانه'!$A$2:$F$33, 4, FALSE), 0)</f>
        <v/>
      </c>
      <c r="L52" s="49">
        <f>IFERROR(K52/J52, 0)</f>
        <v/>
      </c>
      <c r="M52" s="48">
        <f>VLOOKUP($B52, 'پایگاه داده حد انتظار'!$A$2:$H$33, 6, FALSE)</f>
        <v/>
      </c>
      <c r="N52" s="48">
        <f>IFERROR(VLOOKUP($B52, 'گزارش عملکرد ماهانه'!$A$2:$F$33, 5, FALSE), 0)</f>
        <v/>
      </c>
      <c r="O52" s="49">
        <f>IFERROR(N52/M52, 0)</f>
        <v/>
      </c>
      <c r="P52" s="48">
        <f>VLOOKUP($B52, 'پایگاه داده حد انتظار'!$A$2:$H$33, 7, FALSE)</f>
        <v/>
      </c>
      <c r="Q52" s="48">
        <f>IFERROR(VLOOKUP($B52, 'گزارش عملکرد ماهانه'!$A$2:$F$33, 6, FALSE), 0)</f>
        <v/>
      </c>
      <c r="R52" s="49">
        <f>IFERROR(Q52/P52, 0)</f>
        <v/>
      </c>
      <c r="S52" s="48">
        <f>VLOOKUP($B52, 'پایگاه داده حد انتظار'!$A$2:$H$33, 8, FALSE)</f>
        <v/>
      </c>
      <c r="T52" s="86">
        <f>ROUND(70 + 30 * (MIN(0.4, 0.1*F52 + 0.3*I52) + MIN(0.5, 0.5*L52 + MAX(0, 0.1*F52 + 0.3*I52 - 0.4)) + MIN(0.1, 0.1*O52)), 1)</f>
        <v/>
      </c>
      <c r="U52" s="62">
        <f>IF(T52&gt;70, RANK(T52, $T$31:$T$62), "-")</f>
        <v/>
      </c>
      <c r="V52" s="64">
        <f>IF(T52&lt;=70, "ضعیف", IF(T52&gt;=90, "عالی", "متوسط"))</f>
        <v/>
      </c>
      <c r="W52" s="64">
        <f>IF((E52+H52+K52+N52+Q52)&gt;0, "ثبت شده", "فاقد گزارش")</f>
        <v/>
      </c>
    </row>
    <row r="53" ht="20.5" customHeight="1" s="12">
      <c r="A53" s="60" t="n">
        <v>23</v>
      </c>
      <c r="B53" s="81" t="inlineStr">
        <is>
          <t>کاشان</t>
        </is>
      </c>
      <c r="C53" s="82">
        <f>VLOOKUP($B53, 'پایگاه داده حد انتظار'!$A$2:$H$33, 2, FALSE)</f>
        <v/>
      </c>
      <c r="D53" s="44">
        <f>VLOOKUP($B53, 'پایگاه داده حد انتظار'!$A$2:$H$33, 3, FALSE)</f>
        <v/>
      </c>
      <c r="E53" s="44">
        <f>IFERROR(VLOOKUP($B53, 'گزارش عملکرد ماهانه'!$A$2:$F$33, 2, FALSE), 0)</f>
        <v/>
      </c>
      <c r="F53" s="45">
        <f>IFERROR(E53/D53, 0)</f>
        <v/>
      </c>
      <c r="G53" s="44">
        <f>VLOOKUP($B53, 'پایگاه داده حد انتظار'!$A$2:$H$33, 4, FALSE)</f>
        <v/>
      </c>
      <c r="H53" s="44">
        <f>IFERROR(VLOOKUP($B53, 'گزارش عملکرد ماهانه'!$A$2:$F$33, 3, FALSE), 0)</f>
        <v/>
      </c>
      <c r="I53" s="45">
        <f>IFERROR(H53/G53, 0)</f>
        <v/>
      </c>
      <c r="J53" s="44">
        <f>VLOOKUP($B53, 'پایگاه داده حد انتظار'!$A$2:$H$33, 5, FALSE)</f>
        <v/>
      </c>
      <c r="K53" s="44">
        <f>IFERROR(VLOOKUP($B53, 'گزارش عملکرد ماهانه'!$A$2:$F$33, 4, FALSE), 0)</f>
        <v/>
      </c>
      <c r="L53" s="45">
        <f>IFERROR(K53/J53, 0)</f>
        <v/>
      </c>
      <c r="M53" s="44">
        <f>VLOOKUP($B53, 'پایگاه داده حد انتظار'!$A$2:$H$33, 6, FALSE)</f>
        <v/>
      </c>
      <c r="N53" s="44">
        <f>IFERROR(VLOOKUP($B53, 'گزارش عملکرد ماهانه'!$A$2:$F$33, 5, FALSE), 0)</f>
        <v/>
      </c>
      <c r="O53" s="45">
        <f>IFERROR(N53/M53, 0)</f>
        <v/>
      </c>
      <c r="P53" s="44">
        <f>VLOOKUP($B53, 'پایگاه داده حد انتظار'!$A$2:$H$33, 7, FALSE)</f>
        <v/>
      </c>
      <c r="Q53" s="44">
        <f>IFERROR(VLOOKUP($B53, 'گزارش عملکرد ماهانه'!$A$2:$F$33, 6, FALSE), 0)</f>
        <v/>
      </c>
      <c r="R53" s="45">
        <f>IFERROR(Q53/P53, 0)</f>
        <v/>
      </c>
      <c r="S53" s="44">
        <f>VLOOKUP($B53, 'پایگاه داده حد انتظار'!$A$2:$H$33, 8, FALSE)</f>
        <v/>
      </c>
      <c r="T53" s="83">
        <f>ROUND(70 + 30 * (MIN(0.4, 0.1*F53 + 0.3*I53) + MIN(0.5, 0.5*L53 + MAX(0, 0.1*F53 + 0.3*I53 - 0.4)) + MIN(0.1, 0.1*O53)), 1)</f>
        <v/>
      </c>
      <c r="U53" s="58">
        <f>IF(T53&gt;70, RANK(T53, $T$31:$T$62), "-")</f>
        <v/>
      </c>
      <c r="V53" s="60">
        <f>IF(T53&lt;=70, "ضعیف", IF(T53&gt;=90, "عالی", "متوسط"))</f>
        <v/>
      </c>
      <c r="W53" s="60">
        <f>IF((E53+H53+K53+N53+Q53)&gt;0, "ثبت شده", "فاقد گزارش")</f>
        <v/>
      </c>
    </row>
    <row r="54" ht="20.5" customHeight="1" s="12">
      <c r="A54" s="64" t="n">
        <v>24</v>
      </c>
      <c r="B54" s="84" t="inlineStr">
        <is>
          <t>کوهپایه</t>
        </is>
      </c>
      <c r="C54" s="85">
        <f>VLOOKUP($B54, 'پایگاه داده حد انتظار'!$A$2:$H$33, 2, FALSE)</f>
        <v/>
      </c>
      <c r="D54" s="48">
        <f>VLOOKUP($B54, 'پایگاه داده حد انتظار'!$A$2:$H$33, 3, FALSE)</f>
        <v/>
      </c>
      <c r="E54" s="48">
        <f>IFERROR(VLOOKUP($B54, 'گزارش عملکرد ماهانه'!$A$2:$F$33, 2, FALSE), 0)</f>
        <v/>
      </c>
      <c r="F54" s="49">
        <f>IFERROR(E54/D54, 0)</f>
        <v/>
      </c>
      <c r="G54" s="48">
        <f>VLOOKUP($B54, 'پایگاه داده حد انتظار'!$A$2:$H$33, 4, FALSE)</f>
        <v/>
      </c>
      <c r="H54" s="48">
        <f>IFERROR(VLOOKUP($B54, 'گزارش عملکرد ماهانه'!$A$2:$F$33, 3, FALSE), 0)</f>
        <v/>
      </c>
      <c r="I54" s="49">
        <f>IFERROR(H54/G54, 0)</f>
        <v/>
      </c>
      <c r="J54" s="48">
        <f>VLOOKUP($B54, 'پایگاه داده حد انتظار'!$A$2:$H$33, 5, FALSE)</f>
        <v/>
      </c>
      <c r="K54" s="48">
        <f>IFERROR(VLOOKUP($B54, 'گزارش عملکرد ماهانه'!$A$2:$F$33, 4, FALSE), 0)</f>
        <v/>
      </c>
      <c r="L54" s="49">
        <f>IFERROR(K54/J54, 0)</f>
        <v/>
      </c>
      <c r="M54" s="48">
        <f>VLOOKUP($B54, 'پایگاه داده حد انتظار'!$A$2:$H$33, 6, FALSE)</f>
        <v/>
      </c>
      <c r="N54" s="48">
        <f>IFERROR(VLOOKUP($B54, 'گزارش عملکرد ماهانه'!$A$2:$F$33, 5, FALSE), 0)</f>
        <v/>
      </c>
      <c r="O54" s="49">
        <f>IFERROR(N54/M54, 0)</f>
        <v/>
      </c>
      <c r="P54" s="48">
        <f>VLOOKUP($B54, 'پایگاه داده حد انتظار'!$A$2:$H$33, 7, FALSE)</f>
        <v/>
      </c>
      <c r="Q54" s="48">
        <f>IFERROR(VLOOKUP($B54, 'گزارش عملکرد ماهانه'!$A$2:$F$33, 6, FALSE), 0)</f>
        <v/>
      </c>
      <c r="R54" s="49">
        <f>IFERROR(Q54/P54, 0)</f>
        <v/>
      </c>
      <c r="S54" s="48">
        <f>VLOOKUP($B54, 'پایگاه داده حد انتظار'!$A$2:$H$33, 8, FALSE)</f>
        <v/>
      </c>
      <c r="T54" s="86">
        <f>ROUND(70 + 30 * (MIN(0.4, 0.1*F54 + 0.3*I54) + MIN(0.5, 0.5*L54 + MAX(0, 0.1*F54 + 0.3*I54 - 0.4)) + MIN(0.1, 0.1*O54)), 1)</f>
        <v/>
      </c>
      <c r="U54" s="62">
        <f>IF(T54&gt;70, RANK(T54, $T$31:$T$62), "-")</f>
        <v/>
      </c>
      <c r="V54" s="64">
        <f>IF(T54&lt;=70, "ضعیف", IF(T54&gt;=90, "عالی", "متوسط"))</f>
        <v/>
      </c>
      <c r="W54" s="64">
        <f>IF((E54+H54+K54+N54+Q54)&gt;0, "ثبت شده", "فاقد گزارش")</f>
        <v/>
      </c>
    </row>
    <row r="55" ht="20.5" customHeight="1" s="12">
      <c r="A55" s="60" t="n">
        <v>25</v>
      </c>
      <c r="B55" s="81" t="inlineStr">
        <is>
          <t>گلپایگان</t>
        </is>
      </c>
      <c r="C55" s="82">
        <f>VLOOKUP($B55, 'پایگاه داده حد انتظار'!$A$2:$H$33, 2, FALSE)</f>
        <v/>
      </c>
      <c r="D55" s="44">
        <f>VLOOKUP($B55, 'پایگاه داده حد انتظار'!$A$2:$H$33, 3, FALSE)</f>
        <v/>
      </c>
      <c r="E55" s="44">
        <f>IFERROR(VLOOKUP($B55, 'گزارش عملکرد ماهانه'!$A$2:$F$33, 2, FALSE), 0)</f>
        <v/>
      </c>
      <c r="F55" s="45">
        <f>IFERROR(E55/D55, 0)</f>
        <v/>
      </c>
      <c r="G55" s="44">
        <f>VLOOKUP($B55, 'پایگاه داده حد انتظار'!$A$2:$H$33, 4, FALSE)</f>
        <v/>
      </c>
      <c r="H55" s="44">
        <f>IFERROR(VLOOKUP($B55, 'گزارش عملکرد ماهانه'!$A$2:$F$33, 3, FALSE), 0)</f>
        <v/>
      </c>
      <c r="I55" s="45">
        <f>IFERROR(H55/G55, 0)</f>
        <v/>
      </c>
      <c r="J55" s="44">
        <f>VLOOKUP($B55, 'پایگاه داده حد انتظار'!$A$2:$H$33, 5, FALSE)</f>
        <v/>
      </c>
      <c r="K55" s="44">
        <f>IFERROR(VLOOKUP($B55, 'گزارش عملکرد ماهانه'!$A$2:$F$33, 4, FALSE), 0)</f>
        <v/>
      </c>
      <c r="L55" s="45">
        <f>IFERROR(K55/J55, 0)</f>
        <v/>
      </c>
      <c r="M55" s="44">
        <f>VLOOKUP($B55, 'پایگاه داده حد انتظار'!$A$2:$H$33, 6, FALSE)</f>
        <v/>
      </c>
      <c r="N55" s="44">
        <f>IFERROR(VLOOKUP($B55, 'گزارش عملکرد ماهانه'!$A$2:$F$33, 5, FALSE), 0)</f>
        <v/>
      </c>
      <c r="O55" s="45">
        <f>IFERROR(N55/M55, 0)</f>
        <v/>
      </c>
      <c r="P55" s="44">
        <f>VLOOKUP($B55, 'پایگاه داده حد انتظار'!$A$2:$H$33, 7, FALSE)</f>
        <v/>
      </c>
      <c r="Q55" s="44">
        <f>IFERROR(VLOOKUP($B55, 'گزارش عملکرد ماهانه'!$A$2:$F$33, 6, FALSE), 0)</f>
        <v/>
      </c>
      <c r="R55" s="45">
        <f>IFERROR(Q55/P55, 0)</f>
        <v/>
      </c>
      <c r="S55" s="44">
        <f>VLOOKUP($B55, 'پایگاه داده حد انتظار'!$A$2:$H$33, 8, FALSE)</f>
        <v/>
      </c>
      <c r="T55" s="83">
        <f>ROUND(70 + 30 * (MIN(0.4, 0.1*F55 + 0.3*I55) + MIN(0.5, 0.5*L55 + MAX(0, 0.1*F55 + 0.3*I55 - 0.4)) + MIN(0.1, 0.1*O55)), 1)</f>
        <v/>
      </c>
      <c r="U55" s="58">
        <f>IF(T55&gt;70, RANK(T55, $T$31:$T$62), "-")</f>
        <v/>
      </c>
      <c r="V55" s="60">
        <f>IF(T55&lt;=70, "ضعیف", IF(T55&gt;=90, "عالی", "متوسط"))</f>
        <v/>
      </c>
      <c r="W55" s="60">
        <f>IF((E55+H55+K55+N55+Q55)&gt;0, "ثبت شده", "فاقد گزارش")</f>
        <v/>
      </c>
    </row>
    <row r="56" ht="20.5" customHeight="1" s="12">
      <c r="A56" s="64" t="n">
        <v>26</v>
      </c>
      <c r="B56" s="84" t="inlineStr">
        <is>
          <t>لنجان</t>
        </is>
      </c>
      <c r="C56" s="85">
        <f>VLOOKUP($B56, 'پایگاه داده حد انتظار'!$A$2:$H$33, 2, FALSE)</f>
        <v/>
      </c>
      <c r="D56" s="48">
        <f>VLOOKUP($B56, 'پایگاه داده حد انتظار'!$A$2:$H$33, 3, FALSE)</f>
        <v/>
      </c>
      <c r="E56" s="48">
        <f>IFERROR(VLOOKUP($B56, 'گزارش عملکرد ماهانه'!$A$2:$F$33, 2, FALSE), 0)</f>
        <v/>
      </c>
      <c r="F56" s="49">
        <f>IFERROR(E56/D56, 0)</f>
        <v/>
      </c>
      <c r="G56" s="48">
        <f>VLOOKUP($B56, 'پایگاه داده حد انتظار'!$A$2:$H$33, 4, FALSE)</f>
        <v/>
      </c>
      <c r="H56" s="48">
        <f>IFERROR(VLOOKUP($B56, 'گزارش عملکرد ماهانه'!$A$2:$F$33, 3, FALSE), 0)</f>
        <v/>
      </c>
      <c r="I56" s="49">
        <f>IFERROR(H56/G56, 0)</f>
        <v/>
      </c>
      <c r="J56" s="48">
        <f>VLOOKUP($B56, 'پایگاه داده حد انتظار'!$A$2:$H$33, 5, FALSE)</f>
        <v/>
      </c>
      <c r="K56" s="48">
        <f>IFERROR(VLOOKUP($B56, 'گزارش عملکرد ماهانه'!$A$2:$F$33, 4, FALSE), 0)</f>
        <v/>
      </c>
      <c r="L56" s="49">
        <f>IFERROR(K56/J56, 0)</f>
        <v/>
      </c>
      <c r="M56" s="48">
        <f>VLOOKUP($B56, 'پایگاه داده حد انتظار'!$A$2:$H$33, 6, FALSE)</f>
        <v/>
      </c>
      <c r="N56" s="48">
        <f>IFERROR(VLOOKUP($B56, 'گزارش عملکرد ماهانه'!$A$2:$F$33, 5, FALSE), 0)</f>
        <v/>
      </c>
      <c r="O56" s="49">
        <f>IFERROR(N56/M56, 0)</f>
        <v/>
      </c>
      <c r="P56" s="48">
        <f>VLOOKUP($B56, 'پایگاه داده حد انتظار'!$A$2:$H$33, 7, FALSE)</f>
        <v/>
      </c>
      <c r="Q56" s="48">
        <f>IFERROR(VLOOKUP($B56, 'گزارش عملکرد ماهانه'!$A$2:$F$33, 6, FALSE), 0)</f>
        <v/>
      </c>
      <c r="R56" s="49">
        <f>IFERROR(Q56/P56, 0)</f>
        <v/>
      </c>
      <c r="S56" s="48">
        <f>VLOOKUP($B56, 'پایگاه داده حد انتظار'!$A$2:$H$33, 8, FALSE)</f>
        <v/>
      </c>
      <c r="T56" s="86">
        <f>ROUND(70 + 30 * (MIN(0.4, 0.1*F56 + 0.3*I56) + MIN(0.5, 0.5*L56 + MAX(0, 0.1*F56 + 0.3*I56 - 0.4)) + MIN(0.1, 0.1*O56)), 1)</f>
        <v/>
      </c>
      <c r="U56" s="62">
        <f>IF(T56&gt;70, RANK(T56, $T$31:$T$62), "-")</f>
        <v/>
      </c>
      <c r="V56" s="64">
        <f>IF(T56&lt;=70, "ضعیف", IF(T56&gt;=90, "عالی", "متوسط"))</f>
        <v/>
      </c>
      <c r="W56" s="64">
        <f>IF((E56+H56+K56+N56+Q56)&gt;0, "ثبت شده", "فاقد گزارش")</f>
        <v/>
      </c>
    </row>
    <row r="57" ht="20.5" customHeight="1" s="12">
      <c r="A57" s="60" t="n">
        <v>27</v>
      </c>
      <c r="B57" s="81" t="inlineStr">
        <is>
          <t>مبارکه</t>
        </is>
      </c>
      <c r="C57" s="82">
        <f>VLOOKUP($B57, 'پایگاه داده حد انتظار'!$A$2:$H$33, 2, FALSE)</f>
        <v/>
      </c>
      <c r="D57" s="44">
        <f>VLOOKUP($B57, 'پایگاه داده حد انتظار'!$A$2:$H$33, 3, FALSE)</f>
        <v/>
      </c>
      <c r="E57" s="44">
        <f>IFERROR(VLOOKUP($B57, 'گزارش عملکرد ماهانه'!$A$2:$F$33, 2, FALSE), 0)</f>
        <v/>
      </c>
      <c r="F57" s="45">
        <f>IFERROR(E57/D57, 0)</f>
        <v/>
      </c>
      <c r="G57" s="44">
        <f>VLOOKUP($B57, 'پایگاه داده حد انتظار'!$A$2:$H$33, 4, FALSE)</f>
        <v/>
      </c>
      <c r="H57" s="44">
        <f>IFERROR(VLOOKUP($B57, 'گزارش عملکرد ماهانه'!$A$2:$F$33, 3, FALSE), 0)</f>
        <v/>
      </c>
      <c r="I57" s="45">
        <f>IFERROR(H57/G57, 0)</f>
        <v/>
      </c>
      <c r="J57" s="44">
        <f>VLOOKUP($B57, 'پایگاه داده حد انتظار'!$A$2:$H$33, 5, FALSE)</f>
        <v/>
      </c>
      <c r="K57" s="44">
        <f>IFERROR(VLOOKUP($B57, 'گزارش عملکرد ماهانه'!$A$2:$F$33, 4, FALSE), 0)</f>
        <v/>
      </c>
      <c r="L57" s="45">
        <f>IFERROR(K57/J57, 0)</f>
        <v/>
      </c>
      <c r="M57" s="44">
        <f>VLOOKUP($B57, 'پایگاه داده حد انتظار'!$A$2:$H$33, 6, FALSE)</f>
        <v/>
      </c>
      <c r="N57" s="44">
        <f>IFERROR(VLOOKUP($B57, 'گزارش عملکرد ماهانه'!$A$2:$F$33, 5, FALSE), 0)</f>
        <v/>
      </c>
      <c r="O57" s="45">
        <f>IFERROR(N57/M57, 0)</f>
        <v/>
      </c>
      <c r="P57" s="44">
        <f>VLOOKUP($B57, 'پایگاه داده حد انتظار'!$A$2:$H$33, 7, FALSE)</f>
        <v/>
      </c>
      <c r="Q57" s="44">
        <f>IFERROR(VLOOKUP($B57, 'گزارش عملکرد ماهانه'!$A$2:$F$33, 6, FALSE), 0)</f>
        <v/>
      </c>
      <c r="R57" s="45">
        <f>IFERROR(Q57/P57, 0)</f>
        <v/>
      </c>
      <c r="S57" s="44">
        <f>VLOOKUP($B57, 'پایگاه داده حد انتظار'!$A$2:$H$33, 8, FALSE)</f>
        <v/>
      </c>
      <c r="T57" s="83">
        <f>ROUND(70 + 30 * (MIN(0.4, 0.1*F57 + 0.3*I57) + MIN(0.5, 0.5*L57 + MAX(0, 0.1*F57 + 0.3*I57 - 0.4)) + MIN(0.1, 0.1*O57)), 1)</f>
        <v/>
      </c>
      <c r="U57" s="58">
        <f>IF(T57&gt;70, RANK(T57, $T$31:$T$62), "-")</f>
        <v/>
      </c>
      <c r="V57" s="60">
        <f>IF(T57&lt;=70, "ضعیف", IF(T57&gt;=90, "عالی", "متوسط"))</f>
        <v/>
      </c>
      <c r="W57" s="60">
        <f>IF((E57+H57+K57+N57+Q57)&gt;0, "ثبت شده", "فاقد گزارش")</f>
        <v/>
      </c>
    </row>
    <row r="58" ht="20.5" customHeight="1" s="12">
      <c r="A58" s="64" t="n">
        <v>28</v>
      </c>
      <c r="B58" s="84" t="inlineStr">
        <is>
          <t>نایین</t>
        </is>
      </c>
      <c r="C58" s="85">
        <f>VLOOKUP($B58, 'پایگاه داده حد انتظار'!$A$2:$H$33, 2, FALSE)</f>
        <v/>
      </c>
      <c r="D58" s="48">
        <f>VLOOKUP($B58, 'پایگاه داده حد انتظار'!$A$2:$H$33, 3, FALSE)</f>
        <v/>
      </c>
      <c r="E58" s="48">
        <f>IFERROR(VLOOKUP($B58, 'گزارش عملکرد ماهانه'!$A$2:$F$33, 2, FALSE), 0)</f>
        <v/>
      </c>
      <c r="F58" s="49">
        <f>IFERROR(E58/D58, 0)</f>
        <v/>
      </c>
      <c r="G58" s="48">
        <f>VLOOKUP($B58, 'پایگاه داده حد انتظار'!$A$2:$H$33, 4, FALSE)</f>
        <v/>
      </c>
      <c r="H58" s="48">
        <f>IFERROR(VLOOKUP($B58, 'گزارش عملکرد ماهانه'!$A$2:$F$33, 3, FALSE), 0)</f>
        <v/>
      </c>
      <c r="I58" s="49">
        <f>IFERROR(H58/G58, 0)</f>
        <v/>
      </c>
      <c r="J58" s="48">
        <f>VLOOKUP($B58, 'پایگاه داده حد انتظار'!$A$2:$H$33, 5, FALSE)</f>
        <v/>
      </c>
      <c r="K58" s="48">
        <f>IFERROR(VLOOKUP($B58, 'گزارش عملکرد ماهانه'!$A$2:$F$33, 4, FALSE), 0)</f>
        <v/>
      </c>
      <c r="L58" s="49">
        <f>IFERROR(K58/J58, 0)</f>
        <v/>
      </c>
      <c r="M58" s="48">
        <f>VLOOKUP($B58, 'پایگاه داده حد انتظار'!$A$2:$H$33, 6, FALSE)</f>
        <v/>
      </c>
      <c r="N58" s="48">
        <f>IFERROR(VLOOKUP($B58, 'گزارش عملکرد ماهانه'!$A$2:$F$33, 5, FALSE), 0)</f>
        <v/>
      </c>
      <c r="O58" s="49">
        <f>IFERROR(N58/M58, 0)</f>
        <v/>
      </c>
      <c r="P58" s="48">
        <f>VLOOKUP($B58, 'پایگاه داده حد انتظار'!$A$2:$H$33, 7, FALSE)</f>
        <v/>
      </c>
      <c r="Q58" s="48">
        <f>IFERROR(VLOOKUP($B58, 'گزارش عملکرد ماهانه'!$A$2:$F$33, 6, FALSE), 0)</f>
        <v/>
      </c>
      <c r="R58" s="49">
        <f>IFERROR(Q58/P58, 0)</f>
        <v/>
      </c>
      <c r="S58" s="48">
        <f>VLOOKUP($B58, 'پایگاه داده حد انتظار'!$A$2:$H$33, 8, FALSE)</f>
        <v/>
      </c>
      <c r="T58" s="86">
        <f>ROUND(70 + 30 * (MIN(0.4, 0.1*F58 + 0.3*I58) + MIN(0.5, 0.5*L58 + MAX(0, 0.1*F58 + 0.3*I58 - 0.4)) + MIN(0.1, 0.1*O58)), 1)</f>
        <v/>
      </c>
      <c r="U58" s="62">
        <f>IF(T58&gt;70, RANK(T58, $T$31:$T$62), "-")</f>
        <v/>
      </c>
      <c r="V58" s="64">
        <f>IF(T58&lt;=70, "ضعیف", IF(T58&gt;=90, "عالی", "متوسط"))</f>
        <v/>
      </c>
      <c r="W58" s="64">
        <f>IF((E58+H58+K58+N58+Q58)&gt;0, "ثبت شده", "فاقد گزارش")</f>
        <v/>
      </c>
    </row>
    <row r="59" ht="20.5" customHeight="1" s="12">
      <c r="A59" s="60" t="n">
        <v>29</v>
      </c>
      <c r="B59" s="81" t="inlineStr">
        <is>
          <t>نجف آباد</t>
        </is>
      </c>
      <c r="C59" s="82">
        <f>VLOOKUP($B59, 'پایگاه داده حد انتظار'!$A$2:$H$33, 2, FALSE)</f>
        <v/>
      </c>
      <c r="D59" s="44">
        <f>VLOOKUP($B59, 'پایگاه داده حد انتظار'!$A$2:$H$33, 3, FALSE)</f>
        <v/>
      </c>
      <c r="E59" s="44">
        <f>IFERROR(VLOOKUP($B59, 'گزارش عملکرد ماهانه'!$A$2:$F$33, 2, FALSE), 0)</f>
        <v/>
      </c>
      <c r="F59" s="45">
        <f>IFERROR(E59/D59, 0)</f>
        <v/>
      </c>
      <c r="G59" s="44">
        <f>VLOOKUP($B59, 'پایگاه داده حد انتظار'!$A$2:$H$33, 4, FALSE)</f>
        <v/>
      </c>
      <c r="H59" s="44">
        <f>IFERROR(VLOOKUP($B59, 'گزارش عملکرد ماهانه'!$A$2:$F$33, 3, FALSE), 0)</f>
        <v/>
      </c>
      <c r="I59" s="45">
        <f>IFERROR(H59/G59, 0)</f>
        <v/>
      </c>
      <c r="J59" s="44">
        <f>VLOOKUP($B59, 'پایگاه داده حد انتظار'!$A$2:$H$33, 5, FALSE)</f>
        <v/>
      </c>
      <c r="K59" s="44">
        <f>IFERROR(VLOOKUP($B59, 'گزارش عملکرد ماهانه'!$A$2:$F$33, 4, FALSE), 0)</f>
        <v/>
      </c>
      <c r="L59" s="45">
        <f>IFERROR(K59/J59, 0)</f>
        <v/>
      </c>
      <c r="M59" s="44">
        <f>VLOOKUP($B59, 'پایگاه داده حد انتظار'!$A$2:$H$33, 6, FALSE)</f>
        <v/>
      </c>
      <c r="N59" s="44">
        <f>IFERROR(VLOOKUP($B59, 'گزارش عملکرد ماهانه'!$A$2:$F$33, 5, FALSE), 0)</f>
        <v/>
      </c>
      <c r="O59" s="45">
        <f>IFERROR(N59/M59, 0)</f>
        <v/>
      </c>
      <c r="P59" s="44">
        <f>VLOOKUP($B59, 'پایگاه داده حد انتظار'!$A$2:$H$33, 7, FALSE)</f>
        <v/>
      </c>
      <c r="Q59" s="44">
        <f>IFERROR(VLOOKUP($B59, 'گزارش عملکرد ماهانه'!$A$2:$F$33, 6, FALSE), 0)</f>
        <v/>
      </c>
      <c r="R59" s="45">
        <f>IFERROR(Q59/P59, 0)</f>
        <v/>
      </c>
      <c r="S59" s="44">
        <f>VLOOKUP($B59, 'پایگاه داده حد انتظار'!$A$2:$H$33, 8, FALSE)</f>
        <v/>
      </c>
      <c r="T59" s="83">
        <f>ROUND(70 + 30 * (MIN(0.4, 0.1*F59 + 0.3*I59) + MIN(0.5, 0.5*L59 + MAX(0, 0.1*F59 + 0.3*I59 - 0.4)) + MIN(0.1, 0.1*O59)), 1)</f>
        <v/>
      </c>
      <c r="U59" s="58">
        <f>IF(T59&gt;70, RANK(T59, $T$31:$T$62), "-")</f>
        <v/>
      </c>
      <c r="V59" s="60">
        <f>IF(T59&lt;=70, "ضعیف", IF(T59&gt;=90, "عالی", "متوسط"))</f>
        <v/>
      </c>
      <c r="W59" s="60">
        <f>IF((E59+H59+K59+N59+Q59)&gt;0, "ثبت شده", "فاقد گزارش")</f>
        <v/>
      </c>
    </row>
    <row r="60" ht="20.5" customHeight="1" s="12">
      <c r="A60" s="64" t="n">
        <v>30</v>
      </c>
      <c r="B60" s="84" t="inlineStr">
        <is>
          <t>نطنز</t>
        </is>
      </c>
      <c r="C60" s="85">
        <f>VLOOKUP($B60, 'پایگاه داده حد انتظار'!$A$2:$H$33, 2, FALSE)</f>
        <v/>
      </c>
      <c r="D60" s="48">
        <f>VLOOKUP($B60, 'پایگاه داده حد انتظار'!$A$2:$H$33, 3, FALSE)</f>
        <v/>
      </c>
      <c r="E60" s="48">
        <f>IFERROR(VLOOKUP($B60, 'گزارش عملکرد ماهانه'!$A$2:$F$33, 2, FALSE), 0)</f>
        <v/>
      </c>
      <c r="F60" s="49">
        <f>IFERROR(E60/D60, 0)</f>
        <v/>
      </c>
      <c r="G60" s="48">
        <f>VLOOKUP($B60, 'پایگاه داده حد انتظار'!$A$2:$H$33, 4, FALSE)</f>
        <v/>
      </c>
      <c r="H60" s="48">
        <f>IFERROR(VLOOKUP($B60, 'گزارش عملکرد ماهانه'!$A$2:$F$33, 3, FALSE), 0)</f>
        <v/>
      </c>
      <c r="I60" s="49">
        <f>IFERROR(H60/G60, 0)</f>
        <v/>
      </c>
      <c r="J60" s="48">
        <f>VLOOKUP($B60, 'پایگاه داده حد انتظار'!$A$2:$H$33, 5, FALSE)</f>
        <v/>
      </c>
      <c r="K60" s="48">
        <f>IFERROR(VLOOKUP($B60, 'گزارش عملکرد ماهانه'!$A$2:$F$33, 4, FALSE), 0)</f>
        <v/>
      </c>
      <c r="L60" s="49">
        <f>IFERROR(K60/J60, 0)</f>
        <v/>
      </c>
      <c r="M60" s="48">
        <f>VLOOKUP($B60, 'پایگاه داده حد انتظار'!$A$2:$H$33, 6, FALSE)</f>
        <v/>
      </c>
      <c r="N60" s="48">
        <f>IFERROR(VLOOKUP($B60, 'گزارش عملکرد ماهانه'!$A$2:$F$33, 5, FALSE), 0)</f>
        <v/>
      </c>
      <c r="O60" s="49">
        <f>IFERROR(N60/M60, 0)</f>
        <v/>
      </c>
      <c r="P60" s="48">
        <f>VLOOKUP($B60, 'پایگاه داده حد انتظار'!$A$2:$H$33, 7, FALSE)</f>
        <v/>
      </c>
      <c r="Q60" s="48">
        <f>IFERROR(VLOOKUP($B60, 'گزارش عملکرد ماهانه'!$A$2:$F$33, 6, FALSE), 0)</f>
        <v/>
      </c>
      <c r="R60" s="49">
        <f>IFERROR(Q60/P60, 0)</f>
        <v/>
      </c>
      <c r="S60" s="48">
        <f>VLOOKUP($B60, 'پایگاه داده حد انتظار'!$A$2:$H$33, 8, FALSE)</f>
        <v/>
      </c>
      <c r="T60" s="86">
        <f>ROUND(70 + 30 * (MIN(0.4, 0.1*F60 + 0.3*I60) + MIN(0.5, 0.5*L60 + MAX(0, 0.1*F60 + 0.3*I60 - 0.4)) + MIN(0.1, 0.1*O60)), 1)</f>
        <v/>
      </c>
      <c r="U60" s="62">
        <f>IF(T60&gt;70, RANK(T60, $T$31:$T$62), "-")</f>
        <v/>
      </c>
      <c r="V60" s="64">
        <f>IF(T60&lt;=70, "ضعیف", IF(T60&gt;=90, "عالی", "متوسط"))</f>
        <v/>
      </c>
      <c r="W60" s="64">
        <f>IF((E60+H60+K60+N60+Q60)&gt;0, "ثبت شده", "فاقد گزارش")</f>
        <v/>
      </c>
    </row>
    <row r="61" ht="20.5" customHeight="1" s="12">
      <c r="A61" s="60" t="n">
        <v>31</v>
      </c>
      <c r="B61" s="81" t="inlineStr">
        <is>
          <t>ورزنه</t>
        </is>
      </c>
      <c r="C61" s="82">
        <f>VLOOKUP($B61, 'پایگاه داده حد انتظار'!$A$2:$H$33, 2, FALSE)</f>
        <v/>
      </c>
      <c r="D61" s="44">
        <f>VLOOKUP($B61, 'پایگاه داده حد انتظار'!$A$2:$H$33, 3, FALSE)</f>
        <v/>
      </c>
      <c r="E61" s="44">
        <f>IFERROR(VLOOKUP($B61, 'گزارش عملکرد ماهانه'!$A$2:$F$33, 2, FALSE), 0)</f>
        <v/>
      </c>
      <c r="F61" s="45">
        <f>IFERROR(E61/D61, 0)</f>
        <v/>
      </c>
      <c r="G61" s="44">
        <f>VLOOKUP($B61, 'پایگاه داده حد انتظار'!$A$2:$H$33, 4, FALSE)</f>
        <v/>
      </c>
      <c r="H61" s="44">
        <f>IFERROR(VLOOKUP($B61, 'گزارش عملکرد ماهانه'!$A$2:$F$33, 3, FALSE), 0)</f>
        <v/>
      </c>
      <c r="I61" s="45">
        <f>IFERROR(H61/G61, 0)</f>
        <v/>
      </c>
      <c r="J61" s="44">
        <f>VLOOKUP($B61, 'پایگاه داده حد انتظار'!$A$2:$H$33, 5, FALSE)</f>
        <v/>
      </c>
      <c r="K61" s="44">
        <f>IFERROR(VLOOKUP($B61, 'گزارش عملکرد ماهانه'!$A$2:$F$33, 4, FALSE), 0)</f>
        <v/>
      </c>
      <c r="L61" s="45">
        <f>IFERROR(K61/J61, 0)</f>
        <v/>
      </c>
      <c r="M61" s="44">
        <f>VLOOKUP($B61, 'پایگاه داده حد انتظار'!$A$2:$H$33, 6, FALSE)</f>
        <v/>
      </c>
      <c r="N61" s="44">
        <f>IFERROR(VLOOKUP($B61, 'گزارش عملکرد ماهانه'!$A$2:$F$33, 5, FALSE), 0)</f>
        <v/>
      </c>
      <c r="O61" s="45">
        <f>IFERROR(N61/M61, 0)</f>
        <v/>
      </c>
      <c r="P61" s="44">
        <f>VLOOKUP($B61, 'پایگاه داده حد انتظار'!$A$2:$H$33, 7, FALSE)</f>
        <v/>
      </c>
      <c r="Q61" s="44">
        <f>IFERROR(VLOOKUP($B61, 'گزارش عملکرد ماهانه'!$A$2:$F$33, 6, FALSE), 0)</f>
        <v/>
      </c>
      <c r="R61" s="45">
        <f>IFERROR(Q61/P61, 0)</f>
        <v/>
      </c>
      <c r="S61" s="44">
        <f>VLOOKUP($B61, 'پایگاه داده حد انتظار'!$A$2:$H$33, 8, FALSE)</f>
        <v/>
      </c>
      <c r="T61" s="83">
        <f>ROUND(70 + 30 * (MIN(0.4, 0.1*F61 + 0.3*I61) + MIN(0.5, 0.5*L61 + MAX(0, 0.1*F61 + 0.3*I61 - 0.4)) + MIN(0.1, 0.1*O61)), 1)</f>
        <v/>
      </c>
      <c r="U61" s="58">
        <f>IF(T61&gt;70, RANK(T61, $T$31:$T$62), "-")</f>
        <v/>
      </c>
      <c r="V61" s="60">
        <f>IF(T61&lt;=70, "ضعیف", IF(T61&gt;=90, "عالی", "متوسط"))</f>
        <v/>
      </c>
      <c r="W61" s="60">
        <f>IF((E61+H61+K61+N61+Q61)&gt;0, "ثبت شده", "فاقد گزارش")</f>
        <v/>
      </c>
    </row>
    <row r="62" ht="20.5" customHeight="1" s="12">
      <c r="A62" s="64" t="n">
        <v>32</v>
      </c>
      <c r="B62" s="84" t="inlineStr">
        <is>
          <t>هرند</t>
        </is>
      </c>
      <c r="C62" s="85">
        <f>VLOOKUP($B62, 'پایگاه داده حد انتظار'!$A$2:$H$33, 2, FALSE)</f>
        <v/>
      </c>
      <c r="D62" s="48">
        <f>VLOOKUP($B62, 'پایگاه داده حد انتظار'!$A$2:$H$33, 3, FALSE)</f>
        <v/>
      </c>
      <c r="E62" s="48">
        <f>IFERROR(VLOOKUP($B62, 'گزارش عملکرد ماهانه'!$A$2:$F$33, 2, FALSE), 0)</f>
        <v/>
      </c>
      <c r="F62" s="49">
        <f>IFERROR(E62/D62, 0)</f>
        <v/>
      </c>
      <c r="G62" s="48">
        <f>VLOOKUP($B62, 'پایگاه داده حد انتظار'!$A$2:$H$33, 4, FALSE)</f>
        <v/>
      </c>
      <c r="H62" s="48">
        <f>IFERROR(VLOOKUP($B62, 'گزارش عملکرد ماهانه'!$A$2:$F$33, 3, FALSE), 0)</f>
        <v/>
      </c>
      <c r="I62" s="49">
        <f>IFERROR(H62/G62, 0)</f>
        <v/>
      </c>
      <c r="J62" s="48">
        <f>VLOOKUP($B62, 'پایگاه داده حد انتظار'!$A$2:$H$33, 5, FALSE)</f>
        <v/>
      </c>
      <c r="K62" s="48">
        <f>IFERROR(VLOOKUP($B62, 'گزارش عملکرد ماهانه'!$A$2:$F$33, 4, FALSE), 0)</f>
        <v/>
      </c>
      <c r="L62" s="49">
        <f>IFERROR(K62/J62, 0)</f>
        <v/>
      </c>
      <c r="M62" s="48">
        <f>VLOOKUP($B62, 'پایگاه داده حد انتظار'!$A$2:$H$33, 6, FALSE)</f>
        <v/>
      </c>
      <c r="N62" s="48">
        <f>IFERROR(VLOOKUP($B62, 'گزارش عملکرد ماهانه'!$A$2:$F$33, 5, FALSE), 0)</f>
        <v/>
      </c>
      <c r="O62" s="49">
        <f>IFERROR(N62/M62, 0)</f>
        <v/>
      </c>
      <c r="P62" s="48">
        <f>VLOOKUP($B62, 'پایگاه داده حد انتظار'!$A$2:$H$33, 7, FALSE)</f>
        <v/>
      </c>
      <c r="Q62" s="48">
        <f>IFERROR(VLOOKUP($B62, 'گزارش عملکرد ماهانه'!$A$2:$F$33, 6, FALSE), 0)</f>
        <v/>
      </c>
      <c r="R62" s="49">
        <f>IFERROR(Q62/P62, 0)</f>
        <v/>
      </c>
      <c r="S62" s="48">
        <f>VLOOKUP($B62, 'پایگاه داده حد انتظار'!$A$2:$H$33, 8, FALSE)</f>
        <v/>
      </c>
      <c r="T62" s="86">
        <f>ROUND(70 + 30 * (MIN(0.4, 0.1*F62 + 0.3*I62) + MIN(0.5, 0.5*L62 + MAX(0, 0.1*F62 + 0.3*I62 - 0.4)) + MIN(0.1, 0.1*O62)), 1)</f>
        <v/>
      </c>
      <c r="U62" s="62">
        <f>IF(T62&gt;70, RANK(T62, $T$31:$T$62), "-")</f>
        <v/>
      </c>
      <c r="V62" s="64">
        <f>IF(T62&lt;=70, "ضعیف", IF(T62&gt;=90, "عالی", "متوسط"))</f>
        <v/>
      </c>
      <c r="W62" s="64">
        <f>IF((E62+H62+K62+N62+Q62)&gt;0, "ثبت شده", "فاقد گزارش")</f>
        <v/>
      </c>
    </row>
    <row r="63" ht="24" customHeight="1" s="12">
      <c r="A63" s="87" t="inlineStr">
        <is>
          <t>-</t>
        </is>
      </c>
      <c r="B63" s="88" t="inlineStr">
        <is>
          <t>مجموع کل استان اصفهان</t>
        </is>
      </c>
      <c r="C63" s="52">
        <f>SUM(C31:C62)</f>
        <v/>
      </c>
      <c r="D63" s="52">
        <f>SUM(D31:D62)</f>
        <v/>
      </c>
      <c r="E63" s="52">
        <f>SUM(E31:E62)</f>
        <v/>
      </c>
      <c r="F63" s="53">
        <f>IFERROR(E63/D63, 0)</f>
        <v/>
      </c>
      <c r="G63" s="52">
        <f>SUM(G31:G62)</f>
        <v/>
      </c>
      <c r="H63" s="52">
        <f>SUM(H31:H62)</f>
        <v/>
      </c>
      <c r="I63" s="53">
        <f>IFERROR(H63/G63, 0)</f>
        <v/>
      </c>
      <c r="J63" s="52">
        <f>SUM(J31:J62)</f>
        <v/>
      </c>
      <c r="K63" s="52">
        <f>SUM(K31:K62)</f>
        <v/>
      </c>
      <c r="L63" s="53">
        <f>IFERROR(K63/J63, 0)</f>
        <v/>
      </c>
      <c r="M63" s="52">
        <f>SUM(M31:M62)</f>
        <v/>
      </c>
      <c r="N63" s="52">
        <f>SUM(N31:N62)</f>
        <v/>
      </c>
      <c r="O63" s="53">
        <f>IFERROR(N63/M63, 0)</f>
        <v/>
      </c>
      <c r="P63" s="52">
        <f>SUM(P31:P62)</f>
        <v/>
      </c>
      <c r="Q63" s="52">
        <f>SUM(Q31:Q62)</f>
        <v/>
      </c>
      <c r="R63" s="53">
        <f>IFERROR(Q63/P63, 0)</f>
        <v/>
      </c>
      <c r="S63" s="52">
        <f>SUM(S31:S62)</f>
        <v/>
      </c>
      <c r="T63" s="53">
        <f>AVERAGE(T31:T62)</f>
        <v/>
      </c>
      <c r="U63" s="87" t="inlineStr">
        <is>
          <t>-</t>
        </is>
      </c>
      <c r="V63" s="87">
        <f>IF(T63&gt;=1, "عالی", IF(T63&gt;=0.75, "خوب", IF(T63&gt;=0.5, "متوسط", "نیازمند جهش")))</f>
        <v/>
      </c>
      <c r="W63" s="87">
        <f>COUNTIF(W31:W62, "ثبت شده") &amp; " از ۳۲ ناحیه"</f>
        <v/>
      </c>
    </row>
    <row r="64" ht="22" customHeight="1" s="12">
      <c r="A64" s="89" t="inlineStr">
        <is>
          <t>-</t>
        </is>
      </c>
      <c r="B64" s="90" t="inlineStr">
        <is>
          <t>میانگین عملکرد هر ناحیه</t>
        </is>
      </c>
      <c r="C64" s="91">
        <f>AVERAGE(C31:C62)</f>
        <v/>
      </c>
      <c r="D64" s="91">
        <f>AVERAGE(D31:D62)</f>
        <v/>
      </c>
      <c r="E64" s="91">
        <f>AVERAGE(E31:E62)</f>
        <v/>
      </c>
      <c r="F64" s="92">
        <f>AVERAGE(F31:F62)</f>
        <v/>
      </c>
      <c r="G64" s="91">
        <f>AVERAGE(G31:G62)</f>
        <v/>
      </c>
      <c r="H64" s="91">
        <f>AVERAGE(H31:H62)</f>
        <v/>
      </c>
      <c r="I64" s="92">
        <f>AVERAGE(I31:I62)</f>
        <v/>
      </c>
      <c r="J64" s="91">
        <f>AVERAGE(J31:J62)</f>
        <v/>
      </c>
      <c r="K64" s="91">
        <f>AVERAGE(K31:K62)</f>
        <v/>
      </c>
      <c r="L64" s="92">
        <f>AVERAGE(L31:L62)</f>
        <v/>
      </c>
      <c r="M64" s="91">
        <f>AVERAGE(M31:M62)</f>
        <v/>
      </c>
      <c r="N64" s="91">
        <f>AVERAGE(N31:N62)</f>
        <v/>
      </c>
      <c r="O64" s="92">
        <f>AVERAGE(O31:O62)</f>
        <v/>
      </c>
      <c r="P64" s="91">
        <f>AVERAGE(P31:P62)</f>
        <v/>
      </c>
      <c r="Q64" s="91">
        <f>AVERAGE(Q31:Q62)</f>
        <v/>
      </c>
      <c r="R64" s="92">
        <f>AVERAGE(R31:R62)</f>
        <v/>
      </c>
      <c r="S64" s="91">
        <f>AVERAGE(S31:S62)</f>
        <v/>
      </c>
      <c r="T64" s="92">
        <f>AVERAGE(T31:T62)</f>
        <v/>
      </c>
      <c r="U64" s="89" t="inlineStr">
        <is>
          <t>-</t>
        </is>
      </c>
      <c r="V64" s="89" t="inlineStr">
        <is>
          <t>-</t>
        </is>
      </c>
      <c r="W64" s="89" t="inlineStr">
        <is>
          <t>-</t>
        </is>
      </c>
    </row>
    <row r="65" ht="21" customHeight="1" s="12">
      <c r="A65" s="93" t="inlineStr">
        <is>
          <t>-</t>
        </is>
      </c>
      <c r="B65" s="94" t="inlineStr">
        <is>
          <t>بالاترین رکورد در استان (حداکثر)</t>
        </is>
      </c>
      <c r="C65" s="95">
        <f>MAX(C31:C62)</f>
        <v/>
      </c>
      <c r="D65" s="95">
        <f>MAX(D31:D62)</f>
        <v/>
      </c>
      <c r="E65" s="95">
        <f>MAX(E31:E62)</f>
        <v/>
      </c>
      <c r="F65" s="96">
        <f>MAX(F31:F62)</f>
        <v/>
      </c>
      <c r="G65" s="95">
        <f>MAX(G31:G62)</f>
        <v/>
      </c>
      <c r="H65" s="95">
        <f>MAX(H31:H62)</f>
        <v/>
      </c>
      <c r="I65" s="96">
        <f>MAX(I31:I62)</f>
        <v/>
      </c>
      <c r="J65" s="95">
        <f>MAX(J31:J62)</f>
        <v/>
      </c>
      <c r="K65" s="95">
        <f>MAX(K31:K62)</f>
        <v/>
      </c>
      <c r="L65" s="96">
        <f>MAX(L31:L62)</f>
        <v/>
      </c>
      <c r="M65" s="95">
        <f>MAX(M31:M62)</f>
        <v/>
      </c>
      <c r="N65" s="95">
        <f>MAX(N31:N62)</f>
        <v/>
      </c>
      <c r="O65" s="96">
        <f>MAX(O31:O62)</f>
        <v/>
      </c>
      <c r="P65" s="95">
        <f>MAX(P31:P62)</f>
        <v/>
      </c>
      <c r="Q65" s="95">
        <f>MAX(Q31:Q62)</f>
        <v/>
      </c>
      <c r="R65" s="96">
        <f>MAX(R31:R62)</f>
        <v/>
      </c>
      <c r="S65" s="95">
        <f>MAX(S31:S62)</f>
        <v/>
      </c>
      <c r="T65" s="96">
        <f>MAX(T31:T62)</f>
        <v/>
      </c>
      <c r="U65" s="93" t="inlineStr">
        <is>
          <t>-</t>
        </is>
      </c>
      <c r="V65" s="93" t="inlineStr">
        <is>
          <t>-</t>
        </is>
      </c>
      <c r="W65" s="93" t="inlineStr">
        <is>
          <t>-</t>
        </is>
      </c>
    </row>
    <row r="66" ht="21" customHeight="1" s="12">
      <c r="A66" s="97" t="inlineStr">
        <is>
          <t>-</t>
        </is>
      </c>
      <c r="B66" s="98" t="inlineStr">
        <is>
          <t>کمترین رکورد در استان (حداقل)</t>
        </is>
      </c>
      <c r="C66" s="99">
        <f>MIN(C31:C62)</f>
        <v/>
      </c>
      <c r="D66" s="99">
        <f>MIN(D31:D62)</f>
        <v/>
      </c>
      <c r="E66" s="99">
        <f>MIN(E31:E62)</f>
        <v/>
      </c>
      <c r="F66" s="100">
        <f>MIN(F31:F62)</f>
        <v/>
      </c>
      <c r="G66" s="99">
        <f>MIN(G31:G62)</f>
        <v/>
      </c>
      <c r="H66" s="99">
        <f>MIN(H31:H62)</f>
        <v/>
      </c>
      <c r="I66" s="100">
        <f>MIN(I31:I62)</f>
        <v/>
      </c>
      <c r="J66" s="99">
        <f>MIN(J31:J62)</f>
        <v/>
      </c>
      <c r="K66" s="99">
        <f>MIN(K31:K62)</f>
        <v/>
      </c>
      <c r="L66" s="100">
        <f>MIN(L31:L62)</f>
        <v/>
      </c>
      <c r="M66" s="99">
        <f>MIN(M31:M62)</f>
        <v/>
      </c>
      <c r="N66" s="99">
        <f>MIN(N31:N62)</f>
        <v/>
      </c>
      <c r="O66" s="100">
        <f>MIN(O31:O62)</f>
        <v/>
      </c>
      <c r="P66" s="99">
        <f>MIN(P31:P62)</f>
        <v/>
      </c>
      <c r="Q66" s="99">
        <f>MIN(Q31:Q62)</f>
        <v/>
      </c>
      <c r="R66" s="100">
        <f>MIN(R31:R62)</f>
        <v/>
      </c>
      <c r="S66" s="99">
        <f>MIN(S31:S62)</f>
        <v/>
      </c>
      <c r="T66" s="100">
        <f>MIN(T31:T62)</f>
        <v/>
      </c>
      <c r="U66" s="97" t="inlineStr">
        <is>
          <t>-</t>
        </is>
      </c>
      <c r="V66" s="97" t="inlineStr">
        <is>
          <t>-</t>
        </is>
      </c>
      <c r="W66" s="97" t="inlineStr">
        <is>
          <t>-</t>
        </is>
      </c>
    </row>
    <row r="67" ht="12" customHeight="1" s="12"/>
    <row r="68" ht="22" customHeight="1" s="12">
      <c r="A68" s="101" t="inlineStr">
        <is>
          <t>📌 راهنمای گردش اطلاعات و پیوندهای سریع میان شیت‌ها:</t>
        </is>
      </c>
    </row>
    <row r="69" ht="20" customHeight="1" s="12">
      <c r="A69" s="102" t="inlineStr">
        <is>
          <t>۱. نحوه ورود داده‌ها: گزارش‌های ارسالی ماهانه نواحی را تجمیع و در شیت «گزارش عملکرد ماهانه» درج فرمایید؛ تمام محاسبات، درصدها، رتبه‌ها و نمودار این داشبورد به صورت آنی و خودکار بروزرسانی خواهند شد.</t>
        </is>
      </c>
    </row>
    <row r="70" ht="20" customHeight="1" s="12">
      <c r="A70" s="102" t="inlineStr">
        <is>
          <t>۲. مبنای محاسبه شاخص‌ها: ملاک محاسبه عملکرد در شیت‌های حضوری، توانمندسازی، مجازی و خلاقانه، «مجموع تعداد نفرات / مخاطبان» ثبت‌شده در ستون تعداد نفرات کلاس‌ها است (در شاخص ۱: مجموع نفرات شیت‌های حضوری و توانمندسازی گردان).</t>
        </is>
      </c>
    </row>
    <row r="71" ht="20" customHeight="1" s="12">
      <c r="A71" s="102" t="inlineStr">
        <is>
          <t>۳. صدور کارنامه تک‌برگی: جهت مشاهده یا چاپ کارنامه رسمی هر شهرستان به صورت انفرادی، به شیت «کارنامه هوشمند» مراجعه و نام شهرستان را از منوی کشویی انتخاب فرمایید.</t>
        </is>
      </c>
    </row>
    <row r="73" ht="26" customHeight="1" s="12">
      <c r="B73" s="103">
        <f>HYPERLINK("#'کارنامه هوشمند'!A1", "📋 ورود به شیت صدور کارنامه هوشمند نواحی ↗")</f>
        <v/>
      </c>
      <c r="C73" s="127" t="n"/>
      <c r="D73" s="127" t="n"/>
      <c r="E73" s="128" t="n"/>
      <c r="F73" s="104">
        <f>HYPERLINK("#'گزارش عملکرد ماهانه'!A1", "✏️ ورود به شیت ثبت عملکرد ماهانه نواحی ↗")</f>
        <v/>
      </c>
      <c r="G73" s="127" t="n"/>
      <c r="H73" s="127" t="n"/>
      <c r="I73" s="128" t="n"/>
      <c r="J73" s="105">
        <f>HYPERLINK("#'پایگاه داده حد انتظار'!A1", "⚙️ ورود به پایگاه داده و حدانتظار حوزه‌ها ↗")</f>
        <v/>
      </c>
      <c r="K73" s="127" t="n"/>
      <c r="L73" s="127" t="n"/>
      <c r="M73" s="128" t="n"/>
    </row>
  </sheetData>
  <mergeCells count="37">
    <mergeCell ref="A68:W68"/>
    <mergeCell ref="V2:W2"/>
    <mergeCell ref="B9:K9"/>
    <mergeCell ref="I4:L4"/>
    <mergeCell ref="S29"/>
    <mergeCell ref="A1:W1"/>
    <mergeCell ref="M4:P4"/>
    <mergeCell ref="A70:W70"/>
    <mergeCell ref="A2:U2"/>
    <mergeCell ref="A69:W69"/>
    <mergeCell ref="M20:W20"/>
    <mergeCell ref="F73:I73"/>
    <mergeCell ref="I6:L6"/>
    <mergeCell ref="J73:M73"/>
    <mergeCell ref="T29:W29"/>
    <mergeCell ref="A29:C29"/>
    <mergeCell ref="G29:I29"/>
    <mergeCell ref="B6:D6"/>
    <mergeCell ref="E5:H5"/>
    <mergeCell ref="M5:P5"/>
    <mergeCell ref="M29:O29"/>
    <mergeCell ref="B5:D5"/>
    <mergeCell ref="D29:F29"/>
    <mergeCell ref="E4:H4"/>
    <mergeCell ref="B4:D4"/>
    <mergeCell ref="A71:W71"/>
    <mergeCell ref="Q5:W5"/>
    <mergeCell ref="J29:L29"/>
    <mergeCell ref="P29:R29"/>
    <mergeCell ref="B73:E73"/>
    <mergeCell ref="Q4:W4"/>
    <mergeCell ref="E6:H6"/>
    <mergeCell ref="B20:L20"/>
    <mergeCell ref="M6:P6"/>
    <mergeCell ref="Q6:W6"/>
    <mergeCell ref="A28:W28"/>
    <mergeCell ref="I5:L5"/>
  </mergeCells>
  <conditionalFormatting sqref="F31:F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I31:I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L31:L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O31:O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R31:R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conditionalFormatting sqref="T31:T62">
    <cfRule type="cellIs" priority="1" operator="greaterThanOrEqual" dxfId="3" stopIfTrue="0">
      <formula>1</formula>
    </cfRule>
    <cfRule type="cellIs" priority="2" operator="between" dxfId="4" stopIfTrue="0">
      <formula>0.75</formula>
      <formula>0.9999</formula>
    </cfRule>
    <cfRule type="cellIs" priority="3" operator="between" dxfId="5" stopIfTrue="0">
      <formula>0.5</formula>
      <formula>0.7499</formula>
    </cfRule>
    <cfRule type="cellIs" priority="4" operator="between" dxfId="6" stopIfTrue="0">
      <formula>0.0001</formula>
      <formula>0.4999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E16"/>
  <sheetViews>
    <sheetView rightToLeft="1" workbookViewId="0">
      <selection activeCell="A1" sqref="A1"/>
    </sheetView>
  </sheetViews>
  <sheetFormatPr baseColWidth="8" defaultColWidth="12.63" defaultRowHeight="15.75" customHeight="1"/>
  <cols>
    <col width="25.13" customWidth="1" style="12" min="2" max="5"/>
  </cols>
  <sheetData>
    <row r="1">
      <c r="B1" s="109">
        <f>HYPERLINK("#'داشبورد مانیتورینگ نواحی'!A1", "📊 بازگشت به داشبورد مانیتورینگ جامع نواحی ↗")</f>
        <v/>
      </c>
    </row>
    <row r="2">
      <c r="B2" s="6" t="inlineStr">
        <is>
          <t>انتخاب شهرستان:</t>
        </is>
      </c>
      <c r="C2" s="6" t="inlineStr">
        <is>
          <t>آران و بیدگل</t>
        </is>
      </c>
      <c r="D2" s="131" t="inlineStr">
        <is>
          <t>📸 دریافت تصویر کارنامه (PNG)</t>
        </is>
      </c>
      <c r="E2" s="133" t="n"/>
    </row>
    <row r="3">
      <c r="B3" s="134" t="inlineStr">
        <is>
          <t>ماه ارزیابی:</t>
        </is>
      </c>
      <c r="C3" s="135" t="inlineStr">
        <is>
          <t>شهریور</t>
        </is>
      </c>
      <c r="D3" s="134" t="inlineStr">
        <is>
          <t>سال ارزیابی:</t>
        </is>
      </c>
      <c r="E3" s="135" t="inlineStr">
        <is>
          <t>1405</t>
        </is>
      </c>
    </row>
    <row r="4">
      <c r="B4" s="7" t="inlineStr">
        <is>
          <t>بخش</t>
        </is>
      </c>
      <c r="C4" s="7" t="inlineStr">
        <is>
          <t>حد انتظار</t>
        </is>
      </c>
      <c r="D4" s="7" t="inlineStr">
        <is>
          <t>عملکرد واقعی</t>
        </is>
      </c>
      <c r="E4" s="7" t="inlineStr">
        <is>
          <t>درصد تحقق</t>
        </is>
      </c>
    </row>
    <row r="5">
      <c r="B5" s="9" t="inlineStr">
        <is>
          <t>حضوری و توانمندسازی (۳۱×)</t>
        </is>
      </c>
      <c r="C5" s="9">
        <f>IFERROR(VLOOKUP($C$2, 'پایگاه داده حد انتظار'!$A$2:$H$33, 3, FALSE), 0)</f>
        <v/>
      </c>
      <c r="D5" s="9">
        <f>IFERROR(VLOOKUP($C$2, 'گزارش عملکرد ماهانه'!$A$2:$F$33, 2, FALSE), 0)</f>
        <v/>
      </c>
      <c r="E5" s="10">
        <f>IFERROR(D5/C5, 0)</f>
        <v/>
      </c>
    </row>
    <row r="6">
      <c r="B6" s="9" t="inlineStr">
        <is>
          <t>مجازی/لایو (۲۱۷×)</t>
        </is>
      </c>
      <c r="C6" s="9">
        <f>IFERROR(VLOOKUP($C$2, 'پایگاه داده حد انتظار'!$A$2:$H$33, 4, FALSE), 0)</f>
        <v/>
      </c>
      <c r="D6" s="9">
        <f>IFERROR(VLOOKUP($C$2, 'گزارش عملکرد ماهانه'!$A$2:$F$33, 3, FALSE), 0)</f>
        <v/>
      </c>
      <c r="E6" s="10">
        <f>IFERROR(D6/C6, 0)</f>
        <v/>
      </c>
    </row>
    <row r="7">
      <c r="B7" s="9" t="inlineStr">
        <is>
          <t>اقدامات خلاقانه (۶۲×)</t>
        </is>
      </c>
      <c r="C7" s="9">
        <f>IFERROR(VLOOKUP($C$2, 'پایگاه داده حد انتظار'!$A$2:$H$33, 5, FALSE), 0)</f>
        <v/>
      </c>
      <c r="D7" s="9">
        <f>IFERROR(VLOOKUP($C$2, 'گزارش عملکرد ماهانه'!$A$2:$F$33, 4, FALSE), 0)</f>
        <v/>
      </c>
      <c r="E7" s="10">
        <f>IFERROR(D7/C7, 0)</f>
        <v/>
      </c>
    </row>
    <row r="8">
      <c r="B8" s="9" t="inlineStr">
        <is>
          <t>تولیدات رسانه‌ای (۳×)</t>
        </is>
      </c>
      <c r="C8" s="9">
        <f>IFERROR(VLOOKUP($C$2, 'پایگاه داده حد انتظار'!$A$2:$H$33, 6, FALSE), 0)</f>
        <v/>
      </c>
      <c r="D8" s="9">
        <f>IFERROR(VLOOKUP($C$2, 'گزارش عملکرد ماهانه'!$A$2:$F$33, 5, FALSE), 0)</f>
        <v/>
      </c>
      <c r="E8" s="10">
        <f>IFERROR(D8/C8, 0)</f>
        <v/>
      </c>
    </row>
    <row r="9">
      <c r="B9" s="9" t="inlineStr">
        <is>
          <t>نشست انجمن</t>
        </is>
      </c>
      <c r="C9" s="9">
        <f>IFERROR(VLOOKUP($C$2, 'پایگاه داده حد انتظار'!$A$2:$H$33, 7, FALSE), 0)</f>
        <v/>
      </c>
      <c r="D9" s="9">
        <f>IFERROR(VLOOKUP($C$2, 'گزارش عملکرد ماهانه'!$A$2:$F$33, 6, FALSE), 0)</f>
        <v/>
      </c>
      <c r="E9" s="10">
        <f>IFERROR(D9/C9, 0)</f>
        <v/>
      </c>
    </row>
    <row r="10">
      <c r="B10" s="6" t="n"/>
      <c r="C10" s="6" t="n"/>
      <c r="D10" s="6" t="n"/>
      <c r="E10" s="6" t="n"/>
    </row>
    <row r="11">
      <c r="B11" s="110" t="inlineStr">
        <is>
          <t>نمره کل عملکرد (۷۰ تا ۱۰۰):</t>
        </is>
      </c>
      <c r="C11" s="111">
        <f>ROUND(70 + 30 * (MIN(0.4, 0.1*E5 + 0.3*E6) + MIN(0.5, 0.5*E7 + MAX(0, 0.1*E5 + 0.3*E6 - 0.4)) + MIN(0.1, 0.1*E8)), 1)</f>
        <v/>
      </c>
      <c r="D11" s="6" t="n"/>
      <c r="E11" s="6" t="n"/>
    </row>
    <row r="12" ht="22" customHeight="1" s="12">
      <c r="B12" s="112" t="inlineStr">
        <is>
          <t>رتبه در استان:</t>
        </is>
      </c>
      <c r="C12" s="113">
        <f>IFERROR(VLOOKUP($C$2, 'داشبورد مانیتورینگ نواحی'!$B$31:$U$62, 20, FALSE), "-")</f>
        <v/>
      </c>
      <c r="D12" s="6" t="n"/>
      <c r="E12" s="6" t="n"/>
    </row>
    <row r="13" ht="22" customHeight="1" s="12">
      <c r="B13" s="112" t="inlineStr">
        <is>
          <t>سطح ارزیابی (۳ سطح):</t>
        </is>
      </c>
      <c r="C13" s="113">
        <f>IF(C11&lt;=70, "ضعیف", IF(C11&gt;=90, "عالی", "متوسط"))</f>
        <v/>
      </c>
    </row>
    <row r="14" ht="22" customHeight="1" s="12">
      <c r="B14" s="112" t="inlineStr">
        <is>
          <t>درصد تحقق وزنی اهداف:</t>
        </is>
      </c>
      <c r="C14" s="140">
        <f>(MIN(0.4, 0.1*E5 + 0.3*E6) + MIN(0.5, 0.5*E7 + MAX(0, 0.1*E5 + 0.3*E6 - 0.4)) + MIN(0.1, 0.1*E8))</f>
        <v/>
      </c>
    </row>
    <row r="15" ht="22" customHeight="1" s="12">
      <c r="B15" s="112" t="inlineStr">
        <is>
          <t>تعداد حوزه مقاومت:</t>
        </is>
      </c>
      <c r="C15" s="114">
        <f>IFERROR(VLOOKUP(, 'پایگاه داده حد انتظار'!:3, 2, FALSE), 0)</f>
        <v/>
      </c>
    </row>
    <row r="16">
      <c r="B16" s="0" t="inlineStr">
        <is>
          <t>حدانتظار اعضای انجمن:</t>
        </is>
      </c>
      <c r="C16" s="0">
        <f>IFERROR(VLOOKUP(, 'پایگاه داده حد انتظار'!:3, 8, FALSE), 0)</f>
        <v/>
      </c>
    </row>
  </sheetData>
  <mergeCells count="1">
    <mergeCell ref="D2:E2"/>
  </mergeCells>
  <dataValidations count="3">
    <dataValidation sqref="C2" showDropDown="0" showInputMessage="0" showErrorMessage="0" allowBlank="1" type="list">
      <formula1>'پایگاه داده حد انتظار'!$A$2:$A$33</formula1>
    </dataValidation>
    <dataValidation sqref="C3" showDropDown="0" showInputMessage="0" showErrorMessage="0" allowBlank="0" type="list">
      <formula1>"فروردین,اردیبهشت,خرداد,تیر,مرداد,شهریور,مهر,آبان,آذر,دی,بهمن,اسفند"</formula1>
    </dataValidation>
    <dataValidation sqref="C3" showDropDown="0" showInputMessage="0" showErrorMessage="0" allowBlank="0" type="list">
      <formula1>"فروردین,اردیبهشت,خرداد,تیر,مرداد,شهریور,مهر,آبان,آذر,دی,بهمن,اسفند"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33"/>
  <sheetViews>
    <sheetView rightToLeft="1" workbookViewId="0">
      <selection activeCell="A1" sqref="A1"/>
    </sheetView>
  </sheetViews>
  <sheetFormatPr baseColWidth="8" defaultColWidth="12.63" defaultRowHeight="15.75" customHeight="1"/>
  <sheetData>
    <row r="1">
      <c r="A1" s="7" t="inlineStr">
        <is>
          <t>نام ناحیه (شهرستان)</t>
        </is>
      </c>
      <c r="B1" s="7" t="inlineStr">
        <is>
          <t>حضوری و توانمندسازی (۳۱×)</t>
        </is>
      </c>
      <c r="C1" s="7" t="inlineStr">
        <is>
          <t>مجازی/لایو (۲۱۷×)</t>
        </is>
      </c>
      <c r="D1" s="7" t="inlineStr">
        <is>
          <t>اقدامات خلاقانه (۶۲×)</t>
        </is>
      </c>
      <c r="E1" s="7" t="inlineStr">
        <is>
          <t>تولیدات رسانه‌ای (۳×)</t>
        </is>
      </c>
      <c r="F1" s="7" t="inlineStr">
        <is>
          <t>نشست انجمن</t>
        </is>
      </c>
      <c r="G1" s="138" t="inlineStr">
        <is>
          <t>دوره ارزیابی:</t>
        </is>
      </c>
      <c r="H1" s="139">
        <f>'کارنامه هوشمند'!C3 &amp; " " &amp; 'کارنامه هوشمند'!E3</f>
        <v/>
      </c>
    </row>
    <row r="2">
      <c r="A2" s="9" t="inlineStr">
        <is>
          <t>آران و بیدگل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</row>
    <row r="3">
      <c r="A3" s="9" t="inlineStr">
        <is>
          <t>امام حسین(ع)</t>
        </is>
      </c>
      <c r="B3" s="9" t="n">
        <v>0</v>
      </c>
      <c r="C3" s="9" t="n">
        <v>0</v>
      </c>
      <c r="D3" s="9" t="n">
        <v>0</v>
      </c>
      <c r="E3" s="9" t="n">
        <v>0</v>
      </c>
      <c r="F3" s="9" t="n">
        <v>0</v>
      </c>
    </row>
    <row r="4">
      <c r="A4" s="9" t="inlineStr">
        <is>
          <t>امام رضا(ع)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</row>
    <row r="5">
      <c r="A5" s="9" t="inlineStr">
        <is>
          <t>امام صادق(ع)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</row>
    <row r="6">
      <c r="A6" s="9" t="inlineStr">
        <is>
          <t>امام علی(ع)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</row>
    <row r="7">
      <c r="A7" s="9" t="inlineStr">
        <is>
          <t>اردستان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</row>
    <row r="8">
      <c r="A8" s="9" t="inlineStr">
        <is>
          <t>برخوار</t>
        </is>
      </c>
      <c r="B8" s="9" t="n">
        <v>46</v>
      </c>
      <c r="C8" s="9" t="n">
        <v>1</v>
      </c>
      <c r="D8" s="9" t="n">
        <v>4396</v>
      </c>
      <c r="E8" s="9" t="n">
        <v>4</v>
      </c>
      <c r="F8" s="9" t="n">
        <v>1</v>
      </c>
    </row>
    <row r="9">
      <c r="A9" s="9" t="inlineStr">
        <is>
          <t>بویین و میاندشت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</row>
    <row r="10">
      <c r="A10" s="9" t="inlineStr">
        <is>
          <t>تیران و کرون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</row>
    <row r="11">
      <c r="A11" s="9" t="inlineStr">
        <is>
          <t>جرقویه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</row>
    <row r="12">
      <c r="A12" s="9" t="inlineStr">
        <is>
          <t>چادگان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</row>
    <row r="13">
      <c r="A13" s="9" t="inlineStr">
        <is>
          <t>خمینی شهر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</row>
    <row r="14">
      <c r="A14" s="9" t="inlineStr">
        <is>
          <t>خوانسار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</row>
    <row r="15">
      <c r="A15" s="9" t="inlineStr">
        <is>
          <t>خور و بیابانک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</row>
    <row r="16">
      <c r="A16" s="9" t="inlineStr">
        <is>
          <t>درچه</t>
        </is>
      </c>
      <c r="B16" s="9" t="n">
        <v>2299</v>
      </c>
      <c r="C16" s="9" t="n">
        <v>1</v>
      </c>
      <c r="D16" s="9" t="n">
        <v>1</v>
      </c>
      <c r="E16" s="9" t="n">
        <v>1</v>
      </c>
      <c r="F16" s="9" t="n">
        <v>1</v>
      </c>
    </row>
    <row r="17">
      <c r="A17" s="9" t="inlineStr">
        <is>
          <t>دهاقان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</row>
    <row r="18">
      <c r="A18" s="9" t="inlineStr">
        <is>
          <t>سمیرم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</row>
    <row r="19">
      <c r="A19" s="9" t="inlineStr">
        <is>
          <t>شاهین شهر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</row>
    <row r="20">
      <c r="A20" s="9" t="inlineStr">
        <is>
          <t>شهرضا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</row>
    <row r="21">
      <c r="A21" s="9" t="inlineStr">
        <is>
          <t>فریدن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</row>
    <row r="22">
      <c r="A22" s="9" t="inlineStr">
        <is>
          <t>فریدون شهر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</row>
    <row r="23">
      <c r="A23" s="9" t="inlineStr">
        <is>
          <t>فلاورجان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</row>
    <row r="24">
      <c r="A24" s="9" t="inlineStr">
        <is>
          <t>کاشان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</row>
    <row r="25">
      <c r="A25" s="9" t="inlineStr">
        <is>
          <t>کوهپایه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</row>
    <row r="26">
      <c r="A26" s="9" t="inlineStr">
        <is>
          <t>گلپایگان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</row>
    <row r="27">
      <c r="A27" s="9" t="inlineStr">
        <is>
          <t>لنجان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</row>
    <row r="28">
      <c r="A28" s="9" t="inlineStr">
        <is>
          <t>مبارکه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</row>
    <row r="29">
      <c r="A29" s="9" t="inlineStr">
        <is>
          <t>نایین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</row>
    <row r="30">
      <c r="A30" s="9" t="inlineStr">
        <is>
          <t>نجف آباد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</row>
    <row r="31">
      <c r="A31" s="9" t="inlineStr">
        <is>
          <t>نطنز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</row>
    <row r="32">
      <c r="A32" s="9" t="inlineStr">
        <is>
          <t>ورزنه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</row>
    <row r="33">
      <c r="A33" s="9" t="inlineStr">
        <is>
          <t>هرند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33"/>
  <sheetViews>
    <sheetView rightToLeft="1" workbookViewId="0">
      <selection activeCell="A1" sqref="A1"/>
    </sheetView>
  </sheetViews>
  <sheetFormatPr baseColWidth="8" defaultColWidth="12.63" defaultRowHeight="15.75" customHeight="1"/>
  <sheetData>
    <row r="1">
      <c r="A1" s="7" t="inlineStr">
        <is>
          <t>نام ناحیه (شهرستان)</t>
        </is>
      </c>
      <c r="B1" s="7" t="inlineStr">
        <is>
          <t>تعداد حوزه</t>
        </is>
      </c>
      <c r="C1" s="7" t="inlineStr">
        <is>
          <t>حضوری و توانمندسازی (۳۱×)</t>
        </is>
      </c>
      <c r="D1" s="7" t="inlineStr">
        <is>
          <t>مجازی/لایو (۲۱۷×)</t>
        </is>
      </c>
      <c r="E1" s="7" t="inlineStr">
        <is>
          <t>اقدامات خلاقانه (۶۲×)</t>
        </is>
      </c>
      <c r="F1" s="7" t="inlineStr">
        <is>
          <t>تولیدات رسانه‌ای (۳×)</t>
        </is>
      </c>
      <c r="G1" s="7" t="inlineStr">
        <is>
          <t>نشست انجمن</t>
        </is>
      </c>
      <c r="H1" s="7" t="inlineStr">
        <is>
          <t>اعضای انجمن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9" t="inlineStr">
        <is>
          <t>آران و بیدگل</t>
        </is>
      </c>
      <c r="B2" s="9" t="n">
        <v>10</v>
      </c>
      <c r="C2" s="9" t="n">
        <v>310</v>
      </c>
      <c r="D2" s="9" t="n">
        <v>2170</v>
      </c>
      <c r="E2" s="9" t="n">
        <v>620</v>
      </c>
      <c r="F2" s="9" t="n">
        <v>30</v>
      </c>
      <c r="G2" s="9" t="n">
        <v>1</v>
      </c>
      <c r="H2" s="9" t="n">
        <v>22</v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امام حسین(ع)</t>
        </is>
      </c>
      <c r="B3" s="9" t="n">
        <v>5</v>
      </c>
      <c r="C3" s="9" t="n">
        <v>155</v>
      </c>
      <c r="D3" s="9" t="n">
        <v>1085</v>
      </c>
      <c r="E3" s="9" t="n">
        <v>310</v>
      </c>
      <c r="F3" s="9" t="n">
        <v>15</v>
      </c>
      <c r="G3" s="9" t="n">
        <v>1</v>
      </c>
      <c r="H3" s="9" t="n">
        <v>22</v>
      </c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امام رضا(ع)</t>
        </is>
      </c>
      <c r="B4" s="9" t="n">
        <v>22</v>
      </c>
      <c r="C4" s="9" t="n">
        <v>682</v>
      </c>
      <c r="D4" s="9" t="n">
        <v>4774</v>
      </c>
      <c r="E4" s="9" t="n">
        <v>1364</v>
      </c>
      <c r="F4" s="9" t="n">
        <v>66</v>
      </c>
      <c r="G4" s="9" t="n">
        <v>1</v>
      </c>
      <c r="H4" s="9" t="n">
        <v>22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امام صادق(ع)</t>
        </is>
      </c>
      <c r="B5" s="9" t="n">
        <v>22</v>
      </c>
      <c r="C5" s="9" t="n">
        <v>682</v>
      </c>
      <c r="D5" s="9" t="n">
        <v>4774</v>
      </c>
      <c r="E5" s="9" t="n">
        <v>1364</v>
      </c>
      <c r="F5" s="9" t="n">
        <v>66</v>
      </c>
      <c r="G5" s="9" t="n">
        <v>1</v>
      </c>
      <c r="H5" s="9" t="n">
        <v>22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9" t="inlineStr">
        <is>
          <t>امام علی(ع)</t>
        </is>
      </c>
      <c r="B6" s="9" t="n">
        <v>6</v>
      </c>
      <c r="C6" s="9" t="n">
        <v>186</v>
      </c>
      <c r="D6" s="9" t="n">
        <v>1302</v>
      </c>
      <c r="E6" s="9" t="n">
        <v>372</v>
      </c>
      <c r="F6" s="9" t="n">
        <v>18</v>
      </c>
      <c r="G6" s="9" t="n">
        <v>1</v>
      </c>
      <c r="H6" s="9" t="n">
        <v>22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اردستان</t>
        </is>
      </c>
      <c r="B7" s="9" t="n">
        <v>6</v>
      </c>
      <c r="C7" s="9" t="n">
        <v>186</v>
      </c>
      <c r="D7" s="9" t="n">
        <v>1302</v>
      </c>
      <c r="E7" s="9" t="n">
        <v>372</v>
      </c>
      <c r="F7" s="9" t="n">
        <v>18</v>
      </c>
      <c r="G7" s="9" t="n">
        <v>1</v>
      </c>
      <c r="H7" s="9" t="n">
        <v>22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برخوار</t>
        </is>
      </c>
      <c r="B8" s="9" t="n">
        <v>5</v>
      </c>
      <c r="C8" s="9" t="n">
        <v>155</v>
      </c>
      <c r="D8" s="9" t="n">
        <v>1085</v>
      </c>
      <c r="E8" s="9" t="n">
        <v>310</v>
      </c>
      <c r="F8" s="9" t="n">
        <v>15</v>
      </c>
      <c r="G8" s="9" t="n">
        <v>1</v>
      </c>
      <c r="H8" s="9" t="n">
        <v>22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بویین و میاندشت</t>
        </is>
      </c>
      <c r="B9" s="9" t="n">
        <v>3</v>
      </c>
      <c r="C9" s="9" t="n">
        <v>93</v>
      </c>
      <c r="D9" s="9" t="n">
        <v>651</v>
      </c>
      <c r="E9" s="9" t="n">
        <v>186</v>
      </c>
      <c r="F9" s="9" t="n">
        <v>9</v>
      </c>
      <c r="G9" s="9" t="n">
        <v>1</v>
      </c>
      <c r="H9" s="9" t="n">
        <v>22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تیران و کرون</t>
        </is>
      </c>
      <c r="B10" s="9" t="n">
        <v>6</v>
      </c>
      <c r="C10" s="9" t="n">
        <v>186</v>
      </c>
      <c r="D10" s="9" t="n">
        <v>1302</v>
      </c>
      <c r="E10" s="9" t="n">
        <v>372</v>
      </c>
      <c r="F10" s="9" t="n">
        <v>18</v>
      </c>
      <c r="G10" s="9" t="n">
        <v>1</v>
      </c>
      <c r="H10" s="9" t="n">
        <v>22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جرقویه</t>
        </is>
      </c>
      <c r="B11" s="9" t="n">
        <v>4</v>
      </c>
      <c r="C11" s="9" t="n">
        <v>124</v>
      </c>
      <c r="D11" s="9" t="n">
        <v>868</v>
      </c>
      <c r="E11" s="9" t="n">
        <v>248</v>
      </c>
      <c r="F11" s="9" t="n">
        <v>12</v>
      </c>
      <c r="G11" s="9" t="n">
        <v>1</v>
      </c>
      <c r="H11" s="9" t="n">
        <v>22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چادگان</t>
        </is>
      </c>
      <c r="B12" s="9" t="n">
        <v>5</v>
      </c>
      <c r="C12" s="9" t="n">
        <v>155</v>
      </c>
      <c r="D12" s="9" t="n">
        <v>1085</v>
      </c>
      <c r="E12" s="9" t="n">
        <v>310</v>
      </c>
      <c r="F12" s="9" t="n">
        <v>15</v>
      </c>
      <c r="G12" s="9" t="n">
        <v>1</v>
      </c>
      <c r="H12" s="9" t="n">
        <v>22</v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خمینی شهر</t>
        </is>
      </c>
      <c r="B13" s="9" t="n">
        <v>9</v>
      </c>
      <c r="C13" s="9" t="n">
        <v>279</v>
      </c>
      <c r="D13" s="9" t="n">
        <v>1953</v>
      </c>
      <c r="E13" s="9" t="n">
        <v>558</v>
      </c>
      <c r="F13" s="9" t="n">
        <v>27</v>
      </c>
      <c r="G13" s="9" t="n">
        <v>1</v>
      </c>
      <c r="H13" s="9" t="n">
        <v>22</v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9" t="inlineStr">
        <is>
          <t>خوانسار</t>
        </is>
      </c>
      <c r="B14" s="9" t="n">
        <v>3</v>
      </c>
      <c r="C14" s="9" t="n">
        <v>93</v>
      </c>
      <c r="D14" s="9" t="n">
        <v>651</v>
      </c>
      <c r="E14" s="9" t="n">
        <v>186</v>
      </c>
      <c r="F14" s="9" t="n">
        <v>9</v>
      </c>
      <c r="G14" s="9" t="n">
        <v>1</v>
      </c>
      <c r="H14" s="9" t="n">
        <v>22</v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9" t="inlineStr">
        <is>
          <t>خور و بیابانک</t>
        </is>
      </c>
      <c r="B15" s="9" t="n">
        <v>2</v>
      </c>
      <c r="C15" s="9" t="n">
        <v>62</v>
      </c>
      <c r="D15" s="9" t="n">
        <v>434</v>
      </c>
      <c r="E15" s="9" t="n">
        <v>124</v>
      </c>
      <c r="F15" s="9" t="n">
        <v>6</v>
      </c>
      <c r="G15" s="9" t="n">
        <v>1</v>
      </c>
      <c r="H15" s="9" t="n">
        <v>22</v>
      </c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9" t="inlineStr">
        <is>
          <t>درچه</t>
        </is>
      </c>
      <c r="B16" s="9" t="n">
        <v>4</v>
      </c>
      <c r="C16" s="9" t="n">
        <v>124</v>
      </c>
      <c r="D16" s="9" t="n">
        <v>868</v>
      </c>
      <c r="E16" s="9" t="n">
        <v>248</v>
      </c>
      <c r="F16" s="9" t="n">
        <v>12</v>
      </c>
      <c r="G16" s="9" t="n">
        <v>1</v>
      </c>
      <c r="H16" s="9" t="n">
        <v>22</v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9" t="inlineStr">
        <is>
          <t>دهاقان</t>
        </is>
      </c>
      <c r="B17" s="9" t="n">
        <v>3</v>
      </c>
      <c r="C17" s="9" t="n">
        <v>93</v>
      </c>
      <c r="D17" s="9" t="n">
        <v>651</v>
      </c>
      <c r="E17" s="9" t="n">
        <v>186</v>
      </c>
      <c r="F17" s="9" t="n">
        <v>9</v>
      </c>
      <c r="G17" s="9" t="n">
        <v>1</v>
      </c>
      <c r="H17" s="9" t="n">
        <v>22</v>
      </c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9" t="inlineStr">
        <is>
          <t>سمیرم</t>
        </is>
      </c>
      <c r="B18" s="9" t="n">
        <v>7</v>
      </c>
      <c r="C18" s="9" t="n">
        <v>217</v>
      </c>
      <c r="D18" s="9" t="n">
        <v>1519</v>
      </c>
      <c r="E18" s="9" t="n">
        <v>434</v>
      </c>
      <c r="F18" s="9" t="n">
        <v>21</v>
      </c>
      <c r="G18" s="9" t="n">
        <v>1</v>
      </c>
      <c r="H18" s="9" t="n">
        <v>22</v>
      </c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9" t="inlineStr">
        <is>
          <t>شاهین شهر</t>
        </is>
      </c>
      <c r="B19" s="9" t="n">
        <v>9</v>
      </c>
      <c r="C19" s="9" t="n">
        <v>279</v>
      </c>
      <c r="D19" s="9" t="n">
        <v>1953</v>
      </c>
      <c r="E19" s="9" t="n">
        <v>558</v>
      </c>
      <c r="F19" s="9" t="n">
        <v>27</v>
      </c>
      <c r="G19" s="9" t="n">
        <v>1</v>
      </c>
      <c r="H19" s="9" t="n">
        <v>22</v>
      </c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9" t="inlineStr">
        <is>
          <t>شهرضا</t>
        </is>
      </c>
      <c r="B20" s="9" t="n">
        <v>8</v>
      </c>
      <c r="C20" s="9" t="n">
        <v>248</v>
      </c>
      <c r="D20" s="9" t="n">
        <v>1736</v>
      </c>
      <c r="E20" s="9" t="n">
        <v>496</v>
      </c>
      <c r="F20" s="9" t="n">
        <v>24</v>
      </c>
      <c r="G20" s="9" t="n">
        <v>1</v>
      </c>
      <c r="H20" s="9" t="n">
        <v>22</v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9" t="inlineStr">
        <is>
          <t>فریدن</t>
        </is>
      </c>
      <c r="B21" s="9" t="n">
        <v>4</v>
      </c>
      <c r="C21" s="9" t="n">
        <v>124</v>
      </c>
      <c r="D21" s="9" t="n">
        <v>868</v>
      </c>
      <c r="E21" s="9" t="n">
        <v>248</v>
      </c>
      <c r="F21" s="9" t="n">
        <v>12</v>
      </c>
      <c r="G21" s="9" t="n">
        <v>1</v>
      </c>
      <c r="H21" s="9" t="n">
        <v>22</v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9" t="inlineStr">
        <is>
          <t>فریدون شهر</t>
        </is>
      </c>
      <c r="B22" s="9" t="n">
        <v>3</v>
      </c>
      <c r="C22" s="9" t="n">
        <v>93</v>
      </c>
      <c r="D22" s="9" t="n">
        <v>651</v>
      </c>
      <c r="E22" s="9" t="n">
        <v>186</v>
      </c>
      <c r="F22" s="9" t="n">
        <v>9</v>
      </c>
      <c r="G22" s="9" t="n">
        <v>1</v>
      </c>
      <c r="H22" s="9" t="n">
        <v>22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9" t="inlineStr">
        <is>
          <t>فلاورجان</t>
        </is>
      </c>
      <c r="B23" s="9" t="n">
        <v>11</v>
      </c>
      <c r="C23" s="9" t="n">
        <v>341</v>
      </c>
      <c r="D23" s="9" t="n">
        <v>2387</v>
      </c>
      <c r="E23" s="9" t="n">
        <v>682</v>
      </c>
      <c r="F23" s="9" t="n">
        <v>33</v>
      </c>
      <c r="G23" s="9" t="n">
        <v>1</v>
      </c>
      <c r="H23" s="9" t="n">
        <v>22</v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9" t="inlineStr">
        <is>
          <t>کاشان</t>
        </is>
      </c>
      <c r="B24" s="9" t="n">
        <v>15</v>
      </c>
      <c r="C24" s="9" t="n">
        <v>465</v>
      </c>
      <c r="D24" s="9" t="n">
        <v>3255</v>
      </c>
      <c r="E24" s="9" t="n">
        <v>930</v>
      </c>
      <c r="F24" s="9" t="n">
        <v>45</v>
      </c>
      <c r="G24" s="9" t="n">
        <v>1</v>
      </c>
      <c r="H24" s="9" t="n">
        <v>22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9" t="inlineStr">
        <is>
          <t>کوهپایه</t>
        </is>
      </c>
      <c r="B25" s="9" t="n">
        <v>4</v>
      </c>
      <c r="C25" s="9" t="n">
        <v>124</v>
      </c>
      <c r="D25" s="9" t="n">
        <v>868</v>
      </c>
      <c r="E25" s="9" t="n">
        <v>248</v>
      </c>
      <c r="F25" s="9" t="n">
        <v>12</v>
      </c>
      <c r="G25" s="9" t="n">
        <v>1</v>
      </c>
      <c r="H25" s="9" t="n">
        <v>22</v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9" t="inlineStr">
        <is>
          <t>گلپایگان</t>
        </is>
      </c>
      <c r="B26" s="9" t="n">
        <v>5</v>
      </c>
      <c r="C26" s="9" t="n">
        <v>155</v>
      </c>
      <c r="D26" s="9" t="n">
        <v>1085</v>
      </c>
      <c r="E26" s="9" t="n">
        <v>310</v>
      </c>
      <c r="F26" s="9" t="n">
        <v>15</v>
      </c>
      <c r="G26" s="9" t="n">
        <v>1</v>
      </c>
      <c r="H26" s="9" t="n">
        <v>22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9" t="inlineStr">
        <is>
          <t>لنجان</t>
        </is>
      </c>
      <c r="B27" s="9" t="n">
        <v>12</v>
      </c>
      <c r="C27" s="9" t="n">
        <v>372</v>
      </c>
      <c r="D27" s="9" t="n">
        <v>2604</v>
      </c>
      <c r="E27" s="9" t="n">
        <v>744</v>
      </c>
      <c r="F27" s="9" t="n">
        <v>36</v>
      </c>
      <c r="G27" s="9" t="n">
        <v>1</v>
      </c>
      <c r="H27" s="9" t="n">
        <v>22</v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9" t="inlineStr">
        <is>
          <t>مبارکه</t>
        </is>
      </c>
      <c r="B28" s="9" t="n">
        <v>8</v>
      </c>
      <c r="C28" s="9" t="n">
        <v>248</v>
      </c>
      <c r="D28" s="9" t="n">
        <v>1736</v>
      </c>
      <c r="E28" s="9" t="n">
        <v>496</v>
      </c>
      <c r="F28" s="9" t="n">
        <v>24</v>
      </c>
      <c r="G28" s="9" t="n">
        <v>1</v>
      </c>
      <c r="H28" s="9" t="n">
        <v>22</v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9" t="inlineStr">
        <is>
          <t>نایین</t>
        </is>
      </c>
      <c r="B29" s="9" t="n">
        <v>4</v>
      </c>
      <c r="C29" s="9" t="n">
        <v>124</v>
      </c>
      <c r="D29" s="9" t="n">
        <v>868</v>
      </c>
      <c r="E29" s="9" t="n">
        <v>248</v>
      </c>
      <c r="F29" s="9" t="n">
        <v>12</v>
      </c>
      <c r="G29" s="9" t="n">
        <v>1</v>
      </c>
      <c r="H29" s="9" t="n">
        <v>22</v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9" t="inlineStr">
        <is>
          <t>نجف آباد</t>
        </is>
      </c>
      <c r="B30" s="9" t="n">
        <v>14</v>
      </c>
      <c r="C30" s="9" t="n">
        <v>434</v>
      </c>
      <c r="D30" s="9" t="n">
        <v>3038</v>
      </c>
      <c r="E30" s="9" t="n">
        <v>868</v>
      </c>
      <c r="F30" s="9" t="n">
        <v>42</v>
      </c>
      <c r="G30" s="9" t="n">
        <v>1</v>
      </c>
      <c r="H30" s="9" t="n">
        <v>22</v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9" t="inlineStr">
        <is>
          <t>نطنز</t>
        </is>
      </c>
      <c r="B31" s="9" t="n">
        <v>4</v>
      </c>
      <c r="C31" s="9" t="n">
        <v>124</v>
      </c>
      <c r="D31" s="9" t="n">
        <v>868</v>
      </c>
      <c r="E31" s="9" t="n">
        <v>248</v>
      </c>
      <c r="F31" s="9" t="n">
        <v>12</v>
      </c>
      <c r="G31" s="9" t="n">
        <v>1</v>
      </c>
      <c r="H31" s="9" t="n">
        <v>22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9" t="inlineStr">
        <is>
          <t>ورزنه</t>
        </is>
      </c>
      <c r="B32" s="9" t="n">
        <v>2</v>
      </c>
      <c r="C32" s="9" t="n">
        <v>62</v>
      </c>
      <c r="D32" s="9" t="n">
        <v>434</v>
      </c>
      <c r="E32" s="9" t="n">
        <v>124</v>
      </c>
      <c r="F32" s="9" t="n">
        <v>6</v>
      </c>
      <c r="G32" s="9" t="n">
        <v>1</v>
      </c>
      <c r="H32" s="9" t="n">
        <v>22</v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9" t="inlineStr">
        <is>
          <t>هرند</t>
        </is>
      </c>
      <c r="B33" s="9" t="n">
        <v>4</v>
      </c>
      <c r="C33" s="9" t="n">
        <v>124</v>
      </c>
      <c r="D33" s="9" t="n">
        <v>868</v>
      </c>
      <c r="E33" s="9" t="n">
        <v>248</v>
      </c>
      <c r="F33" s="9" t="n">
        <v>12</v>
      </c>
      <c r="G33" s="9" t="n">
        <v>1</v>
      </c>
      <c r="H33" s="9" t="n">
        <v>22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2026-09-20T09:59:56Z</dcterms:created>
  <dcterms:modified xsi:type="dcterms:W3CDTF">2026-09-24T09:56:10Z</dcterms:modified>
</cp:coreProperties>
</file>